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ปก-สรุป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nd-to-End Scenarios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Sign-off" sheetId="5" state="visible" r:id="rId5"/>
  </sheets>
  <definedNames>
    <definedName name="_xlnm._FilterDatabase" localSheetId="1" hidden="1">'Test Cases'!$A$1:$Q$546</definedName>
    <definedName name="_xlnm.Print_Titles" localSheetId="1">'Test Cases'!$1:$1</definedName>
    <definedName name="_xlnm._FilterDatabase" localSheetId="2" hidden="1">'End-to-End Scenarios'!$A$1:$O$77</definedName>
    <definedName name="_xlnm.Print_Titles" localSheetId="2">'End-to-End Scenarios'!$1:$1</definedName>
    <definedName name="_xlnm._FilterDatabase" localSheetId="3" hidden="1">'Defect Log'!$A$1:$T$201</definedName>
    <definedName name="_xlnm.Print_Titles" localSheetId="3">'Defect Log'!$1:$1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0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0"/>
    </font>
    <font>
      <name val="Tahoma"/>
      <color rgb="007F8BA3"/>
      <sz val="9"/>
    </font>
    <font>
      <name val="Tahoma"/>
      <b val="1"/>
      <color rgb="001B2A4A"/>
      <sz val="16"/>
    </font>
    <font>
      <name val="Tahoma"/>
      <color rgb="00595959"/>
      <sz val="10"/>
    </font>
    <font>
      <name val="Tahoma"/>
      <b val="1"/>
      <color rgb="001B2A4A"/>
      <sz val="22"/>
    </font>
    <font>
      <name val="Tahoma"/>
      <b val="1"/>
      <color rgb="002E3F66"/>
      <sz val="13"/>
    </font>
    <font>
      <name val="Tahoma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EF2F8"/>
      </patternFill>
    </fill>
    <fill>
      <patternFill patternType="solid">
        <fgColor rgb="002E3F6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2D6"/>
      </left>
      <right style="thin">
        <color rgb="00B8C2D6"/>
      </right>
      <top style="thin">
        <color rgb="00B8C2D6"/>
      </top>
      <bottom style="thin">
        <color rgb="00B8C2D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5" borderId="0" pivotButton="0" quotePrefix="0" xfId="0"/>
    <xf numFmtId="0" fontId="0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9" fontId="2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9" fontId="3" fillId="6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164" fontId="2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5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ont>
        <name val="Tahoma"/>
        <color rgb="00006100"/>
      </font>
      <fill>
        <patternFill patternType="solid">
          <fgColor rgb="00C6EFCE"/>
        </patternFill>
      </fill>
    </dxf>
    <dxf>
      <font>
        <name val="Tahoma"/>
        <color rgb="009C0006"/>
      </font>
      <fill>
        <patternFill patternType="solid">
          <fgColor rgb="00FFC7CE"/>
        </patternFill>
      </fill>
    </dxf>
    <dxf>
      <font>
        <name val="Tahoma"/>
        <color rgb="009C5700"/>
      </font>
      <fill>
        <patternFill patternType="solid">
          <fgColor rgb="00FFEB9C"/>
        </patternFill>
      </fill>
    </dxf>
    <dxf>
      <font>
        <name val="Tahoma"/>
        <b val="1"/>
        <color rgb="00C00000"/>
      </font>
    </dxf>
    <dxf>
      <fill>
        <patternFill patternType="solid">
          <fgColor rgb="00E4DFE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</cols>
  <sheetData>
    <row r="2">
      <c r="B2" s="1" t="inlineStr">
        <is>
          <t>TOTAL IT SERVICES</t>
        </is>
      </c>
    </row>
    <row r="3">
      <c r="B3" s="2" t="inlineStr">
        <is>
          <t>เอกสารทดสอบการยอมรับของผู้ใช้ (User Acceptance Testing — UAT)</t>
        </is>
      </c>
    </row>
    <row r="4">
      <c r="B4" s="3" t="inlineStr">
        <is>
          <t>ระบบ IT&amp;MAINT — Smart Asset · Smart Work (ออกแบบใหม่จาก SmartEAM 360 v2.0.0) · UX/UI Mockup</t>
        </is>
      </c>
    </row>
    <row r="6" ht="20.5" customHeight="1">
      <c r="B6" s="4" t="inlineStr">
        <is>
          <t>ชื่อโครงการ</t>
        </is>
      </c>
      <c r="C6" s="5" t="inlineStr">
        <is>
          <t>TOTAL IT SERVICES — ระบบบริหารทรัพย์สินและงานซ่อมบำรุง IT &amp; Maintenance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0.5" customHeight="1">
      <c r="B7" s="4" t="inlineStr">
        <is>
          <t>เวอร์ชันเอกสาร</t>
        </is>
      </c>
      <c r="C7" s="5" t="inlineStr">
        <is>
          <t>1.0 (ฉบับร่างสำหรับ UAT รอบที่ 1)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0.5" customHeight="1">
      <c r="B8" s="4" t="inlineStr">
        <is>
          <t>วันที่จัดทำ</t>
        </is>
      </c>
      <c r="C8" s="5" t="inlineStr">
        <is>
          <t>17/10/2569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0.5" customHeight="1">
      <c r="B9" s="4" t="inlineStr">
        <is>
          <t>ระบบอ้างอิง</t>
        </is>
      </c>
      <c r="C9" s="5" t="inlineStr">
        <is>
          <t>SmartEAM 360 v2.0.0 (ระบบเดิม) + หน้าจอ Mockup ใหม่ 27 ไฟล์ (24 หน้าจอไม่ซ้ำ) (ธีมมืด navy, ภาษาไทย, ปี พ.ศ.)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64" customHeight="1">
      <c r="B10" s="4" t="inlineStr">
        <is>
          <t>ขอบเขตการทดสอบ</t>
        </is>
      </c>
      <c r="C10" s="5" t="inlineStr">
        <is>
          <t>ทุกเมนูของระบบ: ภาพรวม (Command Center, จอ TV, ปฏิทินรวม) · ทรัพย์สิน (ทะเบียนกลาง, พิมพ์ป้าย QR/Barcode, สินทรัพย์ถาวร &amp; ค่าเสื่อม, โอนย้าย/ยืม-คืน/จำหน่าย, IT Asset &amp; License, EAM, ติดตามตำแหน่ง, ตรวจนับ, DAM) · ซ่อมบำรุง (WO, ใบแจ้งซ่อม, PM, Predictive/IoT, สอบเทียบ) · คลัง &amp; จัดซื้อ (อะไหล่, PR/PO &amp; สัญญา, ต้นทุน &amp; งบประมาณ) · วิเคราะห์ (RCA/FMEA/CAPA, รายงาน &amp; KPI) · ระบบ (ผู้ใช้, RBAC, ข้อมูลหลัก &amp; Custom Field, ตั้งค่า, การแจ้งเตือน &amp; Cron, REST API &amp; Token, Audit Log) รวมถึง End-to-End ข้ามโมดูล, Multi-site, วันที่ พ.ศ., RBAC และ UI/Responsive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0.5" customHeight="1">
      <c r="B11" s="4" t="inlineStr">
        <is>
          <t>นอกขอบเขต</t>
        </is>
      </c>
      <c r="C11" s="5" t="inlineStr">
        <is>
          <t>Performance/Load test เต็มรูปแบบ, Penetration test, การย้ายข้อมูลจริง (Data migration) — ทดสอบแยกตามแผนอื่น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0.5" customHeight="1">
      <c r="B12" s="4" t="inlineStr">
        <is>
          <t>หมายเหตุหน้าจอ</t>
        </is>
      </c>
      <c r="C12" s="5" t="inlineStr">
        <is>
          <t>เมนูที่ยังไม่มี mockup (พิมพ์ป้าย QR/Barcode, REST API &amp; Token, Audit Log) เขียน Test Case จากข้อกำหนดระบบเดิม และระบุ "ยังไม่มีหน้าจอ mockup" ในคอลัมน์หมายเหตุ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.5" customHeight="1">
      <c r="B13" s="4" t="inlineStr">
        <is>
          <t>สภาพแวดล้อมทดสอบ</t>
        </is>
      </c>
      <c r="C13" s="5" t="inlineStr">
        <is>
          <t>URL UAT: ______________________   ฐานข้อมูลทดสอบ: ______________________   รอบ Build/เวอร์ชัน: __________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35" customHeight="1">
      <c r="B14" s="4" t="inlineStr">
        <is>
          <t>อุปกรณ์/เบราว์เซอร์</t>
        </is>
      </c>
      <c r="C14" s="5" t="inlineStr">
        <is>
          <t>Desktop 1920×1080 และ 1366×768 (Chrome, Edge, Safari ล่าสุด) · Mobile 375×667 (iPhone SE/Android) · จอ TV 1920×1080 · เครื่องอ่าน Barcode/RFID และมือถือสำหรับสแกน QR (ถ้ามี)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35" customHeight="1">
      <c r="B15" s="4" t="inlineStr">
        <is>
          <t>ข้อมูลทดสอบ</t>
        </is>
      </c>
      <c r="C15" s="5" t="inlineStr">
        <is>
          <t>ไซต์: โรงงานสมุทรสาคร (SKN), โรงงานระยอง (RYG) · ทรัพย์สินตัวอย่าง: CONV-03, MTR-007, CMP-02, CNC-001, SRV-001, NB-0231, GAU-011, VH-001 · คลัง: WH-SKN, WH-RYG · ปีงบประมาณ 2569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7" ht="22" customHeight="1">
      <c r="B17" s="7" t="inlineStr">
        <is>
          <t>สรุปผลการทดสอบรายโมดูล (อัปเดตอัตโนมัติจากชีต Test Cases)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30" customHeight="1">
      <c r="B18" s="9" t="inlineStr">
        <is>
          <t>โมดูล</t>
        </is>
      </c>
      <c r="C18" s="9" t="inlineStr">
        <is>
          <t>รหัส (Prefix)</t>
        </is>
      </c>
      <c r="D18" s="9" t="inlineStr">
        <is>
          <t>หน้าจอ Mockup อ้างอิง</t>
        </is>
      </c>
      <c r="E18" s="9" t="inlineStr">
        <is>
          <t>จำนวน TC</t>
        </is>
      </c>
      <c r="F18" s="9" t="inlineStr">
        <is>
          <t>ผ่าน</t>
        </is>
      </c>
      <c r="G18" s="9" t="inlineStr">
        <is>
          <t>ไม่ผ่าน</t>
        </is>
      </c>
      <c r="H18" s="9" t="inlineStr">
        <is>
          <t>ติดเงื่อนไข</t>
        </is>
      </c>
      <c r="I18" s="9" t="inlineStr">
        <is>
          <t>ยังไม่ทดสอบ</t>
        </is>
      </c>
      <c r="J18" s="9" t="inlineStr">
        <is>
          <t>% ผ่าน</t>
        </is>
      </c>
      <c r="K18" s="9" t="inlineStr">
        <is>
          <t>% ดำเนินการ</t>
        </is>
      </c>
      <c r="L18" s="9" t="inlineStr">
        <is>
          <t>High (TC)</t>
        </is>
      </c>
    </row>
    <row r="19" ht="30" customHeight="1">
      <c r="B19" s="5" t="inlineStr">
        <is>
          <t>ส่วนกลาง (Shell / Navigation / ทั่วไป)</t>
        </is>
      </c>
      <c r="C19" s="10" t="inlineStr">
        <is>
          <t>GEN</t>
        </is>
      </c>
      <c r="D19" s="5" t="inlineStr">
        <is>
          <t>ทุกหน้าจอ (c916d36c เป็นหลัก)</t>
        </is>
      </c>
      <c r="E19" s="10">
        <f>COUNTIF('Test Cases'!$B$2:$B$546,B19)</f>
        <v/>
      </c>
      <c r="F19" s="10">
        <f>COUNTIFS('Test Cases'!$B$2:$B$546,$B19,'Test Cases'!$M$2:$M$546,"ผ่าน")</f>
        <v/>
      </c>
      <c r="G19" s="10">
        <f>COUNTIFS('Test Cases'!$B$2:$B$546,$B19,'Test Cases'!$M$2:$M$546,"ไม่ผ่าน")</f>
        <v/>
      </c>
      <c r="H19" s="10">
        <f>COUNTIFS('Test Cases'!$B$2:$B$546,$B19,'Test Cases'!$M$2:$M$546,"ติดเงื่อนไข")</f>
        <v/>
      </c>
      <c r="I19" s="10">
        <f>COUNTIFS('Test Cases'!$B$2:$B$546,$B19,'Test Cases'!$M$2:$M$546,"ยังไม่ทดสอบ")</f>
        <v/>
      </c>
      <c r="J19" s="11">
        <f>IFERROR(F19/(F19+G19+H19),0)</f>
        <v/>
      </c>
      <c r="K19" s="11">
        <f>IFERROR((F19+G19+H19)/E19,0)</f>
        <v/>
      </c>
      <c r="L19" s="10">
        <f>COUNTIFS('Test Cases'!$B$2:$B$546,$B19,'Test Cases'!$J$2:$J$546,"High")</f>
        <v/>
      </c>
    </row>
    <row r="20" ht="18" customHeight="1">
      <c r="B20" s="5" t="inlineStr">
        <is>
          <t>Command Center (แดชบอร์ด)</t>
        </is>
      </c>
      <c r="C20" s="10" t="inlineStr">
        <is>
          <t>DSH</t>
        </is>
      </c>
      <c r="D20" s="5" t="inlineStr">
        <is>
          <t>c916d36c</t>
        </is>
      </c>
      <c r="E20" s="10">
        <f>COUNTIF('Test Cases'!$B$2:$B$546,B20)</f>
        <v/>
      </c>
      <c r="F20" s="10">
        <f>COUNTIFS('Test Cases'!$B$2:$B$546,$B20,'Test Cases'!$M$2:$M$546,"ผ่าน")</f>
        <v/>
      </c>
      <c r="G20" s="10">
        <f>COUNTIFS('Test Cases'!$B$2:$B$546,$B20,'Test Cases'!$M$2:$M$546,"ไม่ผ่าน")</f>
        <v/>
      </c>
      <c r="H20" s="10">
        <f>COUNTIFS('Test Cases'!$B$2:$B$546,$B20,'Test Cases'!$M$2:$M$546,"ติดเงื่อนไข")</f>
        <v/>
      </c>
      <c r="I20" s="10">
        <f>COUNTIFS('Test Cases'!$B$2:$B$546,$B20,'Test Cases'!$M$2:$M$546,"ยังไม่ทดสอบ")</f>
        <v/>
      </c>
      <c r="J20" s="11">
        <f>IFERROR(F20/(F20+G20+H20),0)</f>
        <v/>
      </c>
      <c r="K20" s="11">
        <f>IFERROR((F20+G20+H20)/E20,0)</f>
        <v/>
      </c>
      <c r="L20" s="10">
        <f>COUNTIFS('Test Cases'!$B$2:$B$546,$B20,'Test Cases'!$J$2:$J$546,"High")</f>
        <v/>
      </c>
    </row>
    <row r="21" ht="18" customHeight="1">
      <c r="B21" s="5" t="inlineStr">
        <is>
          <t>จอแสดงผล TV</t>
        </is>
      </c>
      <c r="C21" s="10" t="inlineStr">
        <is>
          <t>TV</t>
        </is>
      </c>
      <c r="D21" s="5" t="inlineStr">
        <is>
          <t>2f8beddb</t>
        </is>
      </c>
      <c r="E21" s="10">
        <f>COUNTIF('Test Cases'!$B$2:$B$546,B21)</f>
        <v/>
      </c>
      <c r="F21" s="10">
        <f>COUNTIFS('Test Cases'!$B$2:$B$546,$B21,'Test Cases'!$M$2:$M$546,"ผ่าน")</f>
        <v/>
      </c>
      <c r="G21" s="10">
        <f>COUNTIFS('Test Cases'!$B$2:$B$546,$B21,'Test Cases'!$M$2:$M$546,"ไม่ผ่าน")</f>
        <v/>
      </c>
      <c r="H21" s="10">
        <f>COUNTIFS('Test Cases'!$B$2:$B$546,$B21,'Test Cases'!$M$2:$M$546,"ติดเงื่อนไข")</f>
        <v/>
      </c>
      <c r="I21" s="10">
        <f>COUNTIFS('Test Cases'!$B$2:$B$546,$B21,'Test Cases'!$M$2:$M$546,"ยังไม่ทดสอบ")</f>
        <v/>
      </c>
      <c r="J21" s="11">
        <f>IFERROR(F21/(F21+G21+H21),0)</f>
        <v/>
      </c>
      <c r="K21" s="11">
        <f>IFERROR((F21+G21+H21)/E21,0)</f>
        <v/>
      </c>
      <c r="L21" s="10">
        <f>COUNTIFS('Test Cases'!$B$2:$B$546,$B21,'Test Cases'!$J$2:$J$546,"High")</f>
        <v/>
      </c>
    </row>
    <row r="22" ht="18" customHeight="1">
      <c r="B22" s="5" t="inlineStr">
        <is>
          <t>ปฏิทินรวม (Master Calendar)</t>
        </is>
      </c>
      <c r="C22" s="10" t="inlineStr">
        <is>
          <t>CAL</t>
        </is>
      </c>
      <c r="D22" s="5" t="inlineStr">
        <is>
          <t>f7099461</t>
        </is>
      </c>
      <c r="E22" s="10">
        <f>COUNTIF('Test Cases'!$B$2:$B$546,B22)</f>
        <v/>
      </c>
      <c r="F22" s="10">
        <f>COUNTIFS('Test Cases'!$B$2:$B$546,$B22,'Test Cases'!$M$2:$M$546,"ผ่าน")</f>
        <v/>
      </c>
      <c r="G22" s="10">
        <f>COUNTIFS('Test Cases'!$B$2:$B$546,$B22,'Test Cases'!$M$2:$M$546,"ไม่ผ่าน")</f>
        <v/>
      </c>
      <c r="H22" s="10">
        <f>COUNTIFS('Test Cases'!$B$2:$B$546,$B22,'Test Cases'!$M$2:$M$546,"ติดเงื่อนไข")</f>
        <v/>
      </c>
      <c r="I22" s="10">
        <f>COUNTIFS('Test Cases'!$B$2:$B$546,$B22,'Test Cases'!$M$2:$M$546,"ยังไม่ทดสอบ")</f>
        <v/>
      </c>
      <c r="J22" s="11">
        <f>IFERROR(F22/(F22+G22+H22),0)</f>
        <v/>
      </c>
      <c r="K22" s="11">
        <f>IFERROR((F22+G22+H22)/E22,0)</f>
        <v/>
      </c>
      <c r="L22" s="10">
        <f>COUNTIFS('Test Cases'!$B$2:$B$546,$B22,'Test Cases'!$J$2:$J$546,"High")</f>
        <v/>
      </c>
    </row>
    <row r="23" ht="18" customHeight="1">
      <c r="B23" s="5" t="inlineStr">
        <is>
          <t>ทะเบียนทรัพย์สินกลาง</t>
        </is>
      </c>
      <c r="C23" s="10" t="inlineStr">
        <is>
          <t>AST</t>
        </is>
      </c>
      <c r="D23" s="5" t="inlineStr">
        <is>
          <t>6bf7b7fb</t>
        </is>
      </c>
      <c r="E23" s="10">
        <f>COUNTIF('Test Cases'!$B$2:$B$546,B23)</f>
        <v/>
      </c>
      <c r="F23" s="10">
        <f>COUNTIFS('Test Cases'!$B$2:$B$546,$B23,'Test Cases'!$M$2:$M$546,"ผ่าน")</f>
        <v/>
      </c>
      <c r="G23" s="10">
        <f>COUNTIFS('Test Cases'!$B$2:$B$546,$B23,'Test Cases'!$M$2:$M$546,"ไม่ผ่าน")</f>
        <v/>
      </c>
      <c r="H23" s="10">
        <f>COUNTIFS('Test Cases'!$B$2:$B$546,$B23,'Test Cases'!$M$2:$M$546,"ติดเงื่อนไข")</f>
        <v/>
      </c>
      <c r="I23" s="10">
        <f>COUNTIFS('Test Cases'!$B$2:$B$546,$B23,'Test Cases'!$M$2:$M$546,"ยังไม่ทดสอบ")</f>
        <v/>
      </c>
      <c r="J23" s="11">
        <f>IFERROR(F23/(F23+G23+H23),0)</f>
        <v/>
      </c>
      <c r="K23" s="11">
        <f>IFERROR((F23+G23+H23)/E23,0)</f>
        <v/>
      </c>
      <c r="L23" s="10">
        <f>COUNTIFS('Test Cases'!$B$2:$B$546,$B23,'Test Cases'!$J$2:$J$546,"High")</f>
        <v/>
      </c>
    </row>
    <row r="24" ht="18" customHeight="1">
      <c r="B24" s="5" t="inlineStr">
        <is>
          <t>พิมพ์ป้าย QR / Barcode</t>
        </is>
      </c>
      <c r="C24" s="10" t="inlineStr">
        <is>
          <t>LBL</t>
        </is>
      </c>
      <c r="D24" s="5" t="inlineStr">
        <is>
          <t>— (ไม่มี mockup)</t>
        </is>
      </c>
      <c r="E24" s="10">
        <f>COUNTIF('Test Cases'!$B$2:$B$546,B24)</f>
        <v/>
      </c>
      <c r="F24" s="10">
        <f>COUNTIFS('Test Cases'!$B$2:$B$546,$B24,'Test Cases'!$M$2:$M$546,"ผ่าน")</f>
        <v/>
      </c>
      <c r="G24" s="10">
        <f>COUNTIFS('Test Cases'!$B$2:$B$546,$B24,'Test Cases'!$M$2:$M$546,"ไม่ผ่าน")</f>
        <v/>
      </c>
      <c r="H24" s="10">
        <f>COUNTIFS('Test Cases'!$B$2:$B$546,$B24,'Test Cases'!$M$2:$M$546,"ติดเงื่อนไข")</f>
        <v/>
      </c>
      <c r="I24" s="10">
        <f>COUNTIFS('Test Cases'!$B$2:$B$546,$B24,'Test Cases'!$M$2:$M$546,"ยังไม่ทดสอบ")</f>
        <v/>
      </c>
      <c r="J24" s="11">
        <f>IFERROR(F24/(F24+G24+H24),0)</f>
        <v/>
      </c>
      <c r="K24" s="11">
        <f>IFERROR((F24+G24+H24)/E24,0)</f>
        <v/>
      </c>
      <c r="L24" s="10">
        <f>COUNTIFS('Test Cases'!$B$2:$B$546,$B24,'Test Cases'!$J$2:$J$546,"High")</f>
        <v/>
      </c>
    </row>
    <row r="25" ht="18" customHeight="1">
      <c r="B25" s="5" t="inlineStr">
        <is>
          <t>สินทรัพย์ถาวร &amp; ค่าเสื่อมราคา</t>
        </is>
      </c>
      <c r="C25" s="10" t="inlineStr">
        <is>
          <t>FA</t>
        </is>
      </c>
      <c r="D25" s="5" t="inlineStr">
        <is>
          <t>cb49172a</t>
        </is>
      </c>
      <c r="E25" s="10">
        <f>COUNTIF('Test Cases'!$B$2:$B$546,B25)</f>
        <v/>
      </c>
      <c r="F25" s="10">
        <f>COUNTIFS('Test Cases'!$B$2:$B$546,$B25,'Test Cases'!$M$2:$M$546,"ผ่าน")</f>
        <v/>
      </c>
      <c r="G25" s="10">
        <f>COUNTIFS('Test Cases'!$B$2:$B$546,$B25,'Test Cases'!$M$2:$M$546,"ไม่ผ่าน")</f>
        <v/>
      </c>
      <c r="H25" s="10">
        <f>COUNTIFS('Test Cases'!$B$2:$B$546,$B25,'Test Cases'!$M$2:$M$546,"ติดเงื่อนไข")</f>
        <v/>
      </c>
      <c r="I25" s="10">
        <f>COUNTIFS('Test Cases'!$B$2:$B$546,$B25,'Test Cases'!$M$2:$M$546,"ยังไม่ทดสอบ")</f>
        <v/>
      </c>
      <c r="J25" s="11">
        <f>IFERROR(F25/(F25+G25+H25),0)</f>
        <v/>
      </c>
      <c r="K25" s="11">
        <f>IFERROR((F25+G25+H25)/E25,0)</f>
        <v/>
      </c>
      <c r="L25" s="10">
        <f>COUNTIFS('Test Cases'!$B$2:$B$546,$B25,'Test Cases'!$J$2:$J$546,"High")</f>
        <v/>
      </c>
    </row>
    <row r="26" ht="18" customHeight="1">
      <c r="B26" s="5" t="inlineStr">
        <is>
          <t>โอนย้าย / ยืม-คืน / จำหน่าย</t>
        </is>
      </c>
      <c r="C26" s="10" t="inlineStr">
        <is>
          <t>MOV</t>
        </is>
      </c>
      <c r="D26" s="5" t="inlineStr">
        <is>
          <t>58ee5614</t>
        </is>
      </c>
      <c r="E26" s="10">
        <f>COUNTIF('Test Cases'!$B$2:$B$546,B26)</f>
        <v/>
      </c>
      <c r="F26" s="10">
        <f>COUNTIFS('Test Cases'!$B$2:$B$546,$B26,'Test Cases'!$M$2:$M$546,"ผ่าน")</f>
        <v/>
      </c>
      <c r="G26" s="10">
        <f>COUNTIFS('Test Cases'!$B$2:$B$546,$B26,'Test Cases'!$M$2:$M$546,"ไม่ผ่าน")</f>
        <v/>
      </c>
      <c r="H26" s="10">
        <f>COUNTIFS('Test Cases'!$B$2:$B$546,$B26,'Test Cases'!$M$2:$M$546,"ติดเงื่อนไข")</f>
        <v/>
      </c>
      <c r="I26" s="10">
        <f>COUNTIFS('Test Cases'!$B$2:$B$546,$B26,'Test Cases'!$M$2:$M$546,"ยังไม่ทดสอบ")</f>
        <v/>
      </c>
      <c r="J26" s="11">
        <f>IFERROR(F26/(F26+G26+H26),0)</f>
        <v/>
      </c>
      <c r="K26" s="11">
        <f>IFERROR((F26+G26+H26)/E26,0)</f>
        <v/>
      </c>
      <c r="L26" s="10">
        <f>COUNTIFS('Test Cases'!$B$2:$B$546,$B26,'Test Cases'!$J$2:$J$546,"High")</f>
        <v/>
      </c>
    </row>
    <row r="27" ht="18" customHeight="1">
      <c r="B27" s="5" t="inlineStr">
        <is>
          <t>IT Asset &amp; License</t>
        </is>
      </c>
      <c r="C27" s="10" t="inlineStr">
        <is>
          <t>ITAM</t>
        </is>
      </c>
      <c r="D27" s="5" t="inlineStr">
        <is>
          <t>af9d691f + a6aa52ba</t>
        </is>
      </c>
      <c r="E27" s="10">
        <f>COUNTIF('Test Cases'!$B$2:$B$546,B27)</f>
        <v/>
      </c>
      <c r="F27" s="10">
        <f>COUNTIFS('Test Cases'!$B$2:$B$546,$B27,'Test Cases'!$M$2:$M$546,"ผ่าน")</f>
        <v/>
      </c>
      <c r="G27" s="10">
        <f>COUNTIFS('Test Cases'!$B$2:$B$546,$B27,'Test Cases'!$M$2:$M$546,"ไม่ผ่าน")</f>
        <v/>
      </c>
      <c r="H27" s="10">
        <f>COUNTIFS('Test Cases'!$B$2:$B$546,$B27,'Test Cases'!$M$2:$M$546,"ติดเงื่อนไข")</f>
        <v/>
      </c>
      <c r="I27" s="10">
        <f>COUNTIFS('Test Cases'!$B$2:$B$546,$B27,'Test Cases'!$M$2:$M$546,"ยังไม่ทดสอบ")</f>
        <v/>
      </c>
      <c r="J27" s="11">
        <f>IFERROR(F27/(F27+G27+H27),0)</f>
        <v/>
      </c>
      <c r="K27" s="11">
        <f>IFERROR((F27+G27+H27)/E27,0)</f>
        <v/>
      </c>
      <c r="L27" s="10">
        <f>COUNTIFS('Test Cases'!$B$2:$B$546,$B27,'Test Cases'!$J$2:$J$546,"High")</f>
        <v/>
      </c>
    </row>
    <row r="28" ht="18" customHeight="1">
      <c r="B28" s="5" t="inlineStr">
        <is>
          <t>EAM ลำดับชั้น &amp; Lifecycle</t>
        </is>
      </c>
      <c r="C28" s="10" t="inlineStr">
        <is>
          <t>EAM</t>
        </is>
      </c>
      <c r="D28" s="5" t="inlineStr">
        <is>
          <t>88f07cff</t>
        </is>
      </c>
      <c r="E28" s="10">
        <f>COUNTIF('Test Cases'!$B$2:$B$546,B28)</f>
        <v/>
      </c>
      <c r="F28" s="10">
        <f>COUNTIFS('Test Cases'!$B$2:$B$546,$B28,'Test Cases'!$M$2:$M$546,"ผ่าน")</f>
        <v/>
      </c>
      <c r="G28" s="10">
        <f>COUNTIFS('Test Cases'!$B$2:$B$546,$B28,'Test Cases'!$M$2:$M$546,"ไม่ผ่าน")</f>
        <v/>
      </c>
      <c r="H28" s="10">
        <f>COUNTIFS('Test Cases'!$B$2:$B$546,$B28,'Test Cases'!$M$2:$M$546,"ติดเงื่อนไข")</f>
        <v/>
      </c>
      <c r="I28" s="10">
        <f>COUNTIFS('Test Cases'!$B$2:$B$546,$B28,'Test Cases'!$M$2:$M$546,"ยังไม่ทดสอบ")</f>
        <v/>
      </c>
      <c r="J28" s="11">
        <f>IFERROR(F28/(F28+G28+H28),0)</f>
        <v/>
      </c>
      <c r="K28" s="11">
        <f>IFERROR((F28+G28+H28)/E28,0)</f>
        <v/>
      </c>
      <c r="L28" s="10">
        <f>COUNTIFS('Test Cases'!$B$2:$B$546,$B28,'Test Cases'!$J$2:$J$546,"High")</f>
        <v/>
      </c>
    </row>
    <row r="29" ht="18" customHeight="1">
      <c r="B29" s="5" t="inlineStr">
        <is>
          <t>ติดตามตำแหน่ง (QR · RFID · GPS)</t>
        </is>
      </c>
      <c r="C29" s="10" t="inlineStr">
        <is>
          <t>TRK</t>
        </is>
      </c>
      <c r="D29" s="5" t="inlineStr">
        <is>
          <t>3de213f2</t>
        </is>
      </c>
      <c r="E29" s="10">
        <f>COUNTIF('Test Cases'!$B$2:$B$546,B29)</f>
        <v/>
      </c>
      <c r="F29" s="10">
        <f>COUNTIFS('Test Cases'!$B$2:$B$546,$B29,'Test Cases'!$M$2:$M$546,"ผ่าน")</f>
        <v/>
      </c>
      <c r="G29" s="10">
        <f>COUNTIFS('Test Cases'!$B$2:$B$546,$B29,'Test Cases'!$M$2:$M$546,"ไม่ผ่าน")</f>
        <v/>
      </c>
      <c r="H29" s="10">
        <f>COUNTIFS('Test Cases'!$B$2:$B$546,$B29,'Test Cases'!$M$2:$M$546,"ติดเงื่อนไข")</f>
        <v/>
      </c>
      <c r="I29" s="10">
        <f>COUNTIFS('Test Cases'!$B$2:$B$546,$B29,'Test Cases'!$M$2:$M$546,"ยังไม่ทดสอบ")</f>
        <v/>
      </c>
      <c r="J29" s="11">
        <f>IFERROR(F29/(F29+G29+H29),0)</f>
        <v/>
      </c>
      <c r="K29" s="11">
        <f>IFERROR((F29+G29+H29)/E29,0)</f>
        <v/>
      </c>
      <c r="L29" s="10">
        <f>COUNTIFS('Test Cases'!$B$2:$B$546,$B29,'Test Cases'!$J$2:$J$546,"High")</f>
        <v/>
      </c>
    </row>
    <row r="30" ht="18" customHeight="1">
      <c r="B30" s="5" t="inlineStr">
        <is>
          <t>ตรวจนับทรัพย์สิน (Stocktake)</t>
        </is>
      </c>
      <c r="C30" s="10" t="inlineStr">
        <is>
          <t>STK</t>
        </is>
      </c>
      <c r="D30" s="5" t="inlineStr">
        <is>
          <t>41ca3fb4</t>
        </is>
      </c>
      <c r="E30" s="10">
        <f>COUNTIF('Test Cases'!$B$2:$B$546,B30)</f>
        <v/>
      </c>
      <c r="F30" s="10">
        <f>COUNTIFS('Test Cases'!$B$2:$B$546,$B30,'Test Cases'!$M$2:$M$546,"ผ่าน")</f>
        <v/>
      </c>
      <c r="G30" s="10">
        <f>COUNTIFS('Test Cases'!$B$2:$B$546,$B30,'Test Cases'!$M$2:$M$546,"ไม่ผ่าน")</f>
        <v/>
      </c>
      <c r="H30" s="10">
        <f>COUNTIFS('Test Cases'!$B$2:$B$546,$B30,'Test Cases'!$M$2:$M$546,"ติดเงื่อนไข")</f>
        <v/>
      </c>
      <c r="I30" s="10">
        <f>COUNTIFS('Test Cases'!$B$2:$B$546,$B30,'Test Cases'!$M$2:$M$546,"ยังไม่ทดสอบ")</f>
        <v/>
      </c>
      <c r="J30" s="11">
        <f>IFERROR(F30/(F30+G30+H30),0)</f>
        <v/>
      </c>
      <c r="K30" s="11">
        <f>IFERROR((F30+G30+H30)/E30,0)</f>
        <v/>
      </c>
      <c r="L30" s="10">
        <f>COUNTIFS('Test Cases'!$B$2:$B$546,$B30,'Test Cases'!$J$2:$J$546,"High")</f>
        <v/>
      </c>
    </row>
    <row r="31" ht="18" customHeight="1">
      <c r="B31" s="5" t="inlineStr">
        <is>
          <t>คลังดิจิทัล (DAM)</t>
        </is>
      </c>
      <c r="C31" s="10" t="inlineStr">
        <is>
          <t>DAM</t>
        </is>
      </c>
      <c r="D31" s="5" t="inlineStr">
        <is>
          <t>d035a0b6</t>
        </is>
      </c>
      <c r="E31" s="10">
        <f>COUNTIF('Test Cases'!$B$2:$B$546,B31)</f>
        <v/>
      </c>
      <c r="F31" s="10">
        <f>COUNTIFS('Test Cases'!$B$2:$B$546,$B31,'Test Cases'!$M$2:$M$546,"ผ่าน")</f>
        <v/>
      </c>
      <c r="G31" s="10">
        <f>COUNTIFS('Test Cases'!$B$2:$B$546,$B31,'Test Cases'!$M$2:$M$546,"ไม่ผ่าน")</f>
        <v/>
      </c>
      <c r="H31" s="10">
        <f>COUNTIFS('Test Cases'!$B$2:$B$546,$B31,'Test Cases'!$M$2:$M$546,"ติดเงื่อนไข")</f>
        <v/>
      </c>
      <c r="I31" s="10">
        <f>COUNTIFS('Test Cases'!$B$2:$B$546,$B31,'Test Cases'!$M$2:$M$546,"ยังไม่ทดสอบ")</f>
        <v/>
      </c>
      <c r="J31" s="11">
        <f>IFERROR(F31/(F31+G31+H31),0)</f>
        <v/>
      </c>
      <c r="K31" s="11">
        <f>IFERROR((F31+G31+H31)/E31,0)</f>
        <v/>
      </c>
      <c r="L31" s="10">
        <f>COUNTIFS('Test Cases'!$B$2:$B$546,$B31,'Test Cases'!$J$2:$J$546,"High")</f>
        <v/>
      </c>
    </row>
    <row r="32" ht="18" customHeight="1">
      <c r="B32" s="5" t="inlineStr">
        <is>
          <t>ใบสั่งงาน (Work Orders)</t>
        </is>
      </c>
      <c r="C32" s="10" t="inlineStr">
        <is>
          <t>WO</t>
        </is>
      </c>
      <c r="D32" s="5" t="inlineStr">
        <is>
          <t>1a4e5713</t>
        </is>
      </c>
      <c r="E32" s="10">
        <f>COUNTIF('Test Cases'!$B$2:$B$546,B32)</f>
        <v/>
      </c>
      <c r="F32" s="10">
        <f>COUNTIFS('Test Cases'!$B$2:$B$546,$B32,'Test Cases'!$M$2:$M$546,"ผ่าน")</f>
        <v/>
      </c>
      <c r="G32" s="10">
        <f>COUNTIFS('Test Cases'!$B$2:$B$546,$B32,'Test Cases'!$M$2:$M$546,"ไม่ผ่าน")</f>
        <v/>
      </c>
      <c r="H32" s="10">
        <f>COUNTIFS('Test Cases'!$B$2:$B$546,$B32,'Test Cases'!$M$2:$M$546,"ติดเงื่อนไข")</f>
        <v/>
      </c>
      <c r="I32" s="10">
        <f>COUNTIFS('Test Cases'!$B$2:$B$546,$B32,'Test Cases'!$M$2:$M$546,"ยังไม่ทดสอบ")</f>
        <v/>
      </c>
      <c r="J32" s="11">
        <f>IFERROR(F32/(F32+G32+H32),0)</f>
        <v/>
      </c>
      <c r="K32" s="11">
        <f>IFERROR((F32+G32+H32)/E32,0)</f>
        <v/>
      </c>
      <c r="L32" s="10">
        <f>COUNTIFS('Test Cases'!$B$2:$B$546,$B32,'Test Cases'!$J$2:$J$546,"High")</f>
        <v/>
      </c>
    </row>
    <row r="33" ht="18" customHeight="1">
      <c r="B33" s="5" t="inlineStr">
        <is>
          <t>ใบแจ้งซ่อม (Repair Requests)</t>
        </is>
      </c>
      <c r="C33" s="10" t="inlineStr">
        <is>
          <t>RR</t>
        </is>
      </c>
      <c r="D33" s="5" t="inlineStr">
        <is>
          <t>9f6c0f16</t>
        </is>
      </c>
      <c r="E33" s="10">
        <f>COUNTIF('Test Cases'!$B$2:$B$546,B33)</f>
        <v/>
      </c>
      <c r="F33" s="10">
        <f>COUNTIFS('Test Cases'!$B$2:$B$546,$B33,'Test Cases'!$M$2:$M$546,"ผ่าน")</f>
        <v/>
      </c>
      <c r="G33" s="10">
        <f>COUNTIFS('Test Cases'!$B$2:$B$546,$B33,'Test Cases'!$M$2:$M$546,"ไม่ผ่าน")</f>
        <v/>
      </c>
      <c r="H33" s="10">
        <f>COUNTIFS('Test Cases'!$B$2:$B$546,$B33,'Test Cases'!$M$2:$M$546,"ติดเงื่อนไข")</f>
        <v/>
      </c>
      <c r="I33" s="10">
        <f>COUNTIFS('Test Cases'!$B$2:$B$546,$B33,'Test Cases'!$M$2:$M$546,"ยังไม่ทดสอบ")</f>
        <v/>
      </c>
      <c r="J33" s="11">
        <f>IFERROR(F33/(F33+G33+H33),0)</f>
        <v/>
      </c>
      <c r="K33" s="11">
        <f>IFERROR((F33+G33+H33)/E33,0)</f>
        <v/>
      </c>
      <c r="L33" s="10">
        <f>COUNTIFS('Test Cases'!$B$2:$B$546,$B33,'Test Cases'!$J$2:$J$546,"High")</f>
        <v/>
      </c>
    </row>
    <row r="34" ht="18" customHeight="1">
      <c r="B34" s="5" t="inlineStr">
        <is>
          <t>แผน PM &amp; เช็คลิสต์</t>
        </is>
      </c>
      <c r="C34" s="10" t="inlineStr">
        <is>
          <t>PM</t>
        </is>
      </c>
      <c r="D34" s="5" t="inlineStr">
        <is>
          <t>d937dfd7</t>
        </is>
      </c>
      <c r="E34" s="10">
        <f>COUNTIF('Test Cases'!$B$2:$B$546,B34)</f>
        <v/>
      </c>
      <c r="F34" s="10">
        <f>COUNTIFS('Test Cases'!$B$2:$B$546,$B34,'Test Cases'!$M$2:$M$546,"ผ่าน")</f>
        <v/>
      </c>
      <c r="G34" s="10">
        <f>COUNTIFS('Test Cases'!$B$2:$B$546,$B34,'Test Cases'!$M$2:$M$546,"ไม่ผ่าน")</f>
        <v/>
      </c>
      <c r="H34" s="10">
        <f>COUNTIFS('Test Cases'!$B$2:$B$546,$B34,'Test Cases'!$M$2:$M$546,"ติดเงื่อนไข")</f>
        <v/>
      </c>
      <c r="I34" s="10">
        <f>COUNTIFS('Test Cases'!$B$2:$B$546,$B34,'Test Cases'!$M$2:$M$546,"ยังไม่ทดสอบ")</f>
        <v/>
      </c>
      <c r="J34" s="11">
        <f>IFERROR(F34/(F34+G34+H34),0)</f>
        <v/>
      </c>
      <c r="K34" s="11">
        <f>IFERROR((F34+G34+H34)/E34,0)</f>
        <v/>
      </c>
      <c r="L34" s="10">
        <f>COUNTIFS('Test Cases'!$B$2:$B$546,$B34,'Test Cases'!$J$2:$J$546,"High")</f>
        <v/>
      </c>
    </row>
    <row r="35" ht="18" customHeight="1">
      <c r="B35" s="5" t="inlineStr">
        <is>
          <t>Predictive Maintenance / IoT</t>
        </is>
      </c>
      <c r="C35" s="10" t="inlineStr">
        <is>
          <t>IOT</t>
        </is>
      </c>
      <c r="D35" s="5" t="inlineStr">
        <is>
          <t>aa29fd93</t>
        </is>
      </c>
      <c r="E35" s="10">
        <f>COUNTIF('Test Cases'!$B$2:$B$546,B35)</f>
        <v/>
      </c>
      <c r="F35" s="10">
        <f>COUNTIFS('Test Cases'!$B$2:$B$546,$B35,'Test Cases'!$M$2:$M$546,"ผ่าน")</f>
        <v/>
      </c>
      <c r="G35" s="10">
        <f>COUNTIFS('Test Cases'!$B$2:$B$546,$B35,'Test Cases'!$M$2:$M$546,"ไม่ผ่าน")</f>
        <v/>
      </c>
      <c r="H35" s="10">
        <f>COUNTIFS('Test Cases'!$B$2:$B$546,$B35,'Test Cases'!$M$2:$M$546,"ติดเงื่อนไข")</f>
        <v/>
      </c>
      <c r="I35" s="10">
        <f>COUNTIFS('Test Cases'!$B$2:$B$546,$B35,'Test Cases'!$M$2:$M$546,"ยังไม่ทดสอบ")</f>
        <v/>
      </c>
      <c r="J35" s="11">
        <f>IFERROR(F35/(F35+G35+H35),0)</f>
        <v/>
      </c>
      <c r="K35" s="11">
        <f>IFERROR((F35+G35+H35)/E35,0)</f>
        <v/>
      </c>
      <c r="L35" s="10">
        <f>COUNTIFS('Test Cases'!$B$2:$B$546,$B35,'Test Cases'!$J$2:$J$546,"High")</f>
        <v/>
      </c>
    </row>
    <row r="36" ht="30" customHeight="1">
      <c r="B36" s="5" t="inlineStr">
        <is>
          <t>สอบเทียบเครื่องมือวัด (Calibration)</t>
        </is>
      </c>
      <c r="C36" s="10" t="inlineStr">
        <is>
          <t>CLB</t>
        </is>
      </c>
      <c r="D36" s="5" t="inlineStr">
        <is>
          <t>2074c75a</t>
        </is>
      </c>
      <c r="E36" s="10">
        <f>COUNTIF('Test Cases'!$B$2:$B$546,B36)</f>
        <v/>
      </c>
      <c r="F36" s="10">
        <f>COUNTIFS('Test Cases'!$B$2:$B$546,$B36,'Test Cases'!$M$2:$M$546,"ผ่าน")</f>
        <v/>
      </c>
      <c r="G36" s="10">
        <f>COUNTIFS('Test Cases'!$B$2:$B$546,$B36,'Test Cases'!$M$2:$M$546,"ไม่ผ่าน")</f>
        <v/>
      </c>
      <c r="H36" s="10">
        <f>COUNTIFS('Test Cases'!$B$2:$B$546,$B36,'Test Cases'!$M$2:$M$546,"ติดเงื่อนไข")</f>
        <v/>
      </c>
      <c r="I36" s="10">
        <f>COUNTIFS('Test Cases'!$B$2:$B$546,$B36,'Test Cases'!$M$2:$M$546,"ยังไม่ทดสอบ")</f>
        <v/>
      </c>
      <c r="J36" s="11">
        <f>IFERROR(F36/(F36+G36+H36),0)</f>
        <v/>
      </c>
      <c r="K36" s="11">
        <f>IFERROR((F36+G36+H36)/E36,0)</f>
        <v/>
      </c>
      <c r="L36" s="10">
        <f>COUNTIFS('Test Cases'!$B$2:$B$546,$B36,'Test Cases'!$J$2:$J$546,"High")</f>
        <v/>
      </c>
    </row>
    <row r="37" ht="18" customHeight="1">
      <c r="B37" s="5" t="inlineStr">
        <is>
          <t>คลังอะไหล่ (Spare Parts)</t>
        </is>
      </c>
      <c r="C37" s="10" t="inlineStr">
        <is>
          <t>SP</t>
        </is>
      </c>
      <c r="D37" s="5" t="inlineStr">
        <is>
          <t>2b1d5dab</t>
        </is>
      </c>
      <c r="E37" s="10">
        <f>COUNTIF('Test Cases'!$B$2:$B$546,B37)</f>
        <v/>
      </c>
      <c r="F37" s="10">
        <f>COUNTIFS('Test Cases'!$B$2:$B$546,$B37,'Test Cases'!$M$2:$M$546,"ผ่าน")</f>
        <v/>
      </c>
      <c r="G37" s="10">
        <f>COUNTIFS('Test Cases'!$B$2:$B$546,$B37,'Test Cases'!$M$2:$M$546,"ไม่ผ่าน")</f>
        <v/>
      </c>
      <c r="H37" s="10">
        <f>COUNTIFS('Test Cases'!$B$2:$B$546,$B37,'Test Cases'!$M$2:$M$546,"ติดเงื่อนไข")</f>
        <v/>
      </c>
      <c r="I37" s="10">
        <f>COUNTIFS('Test Cases'!$B$2:$B$546,$B37,'Test Cases'!$M$2:$M$546,"ยังไม่ทดสอบ")</f>
        <v/>
      </c>
      <c r="J37" s="11">
        <f>IFERROR(F37/(F37+G37+H37),0)</f>
        <v/>
      </c>
      <c r="K37" s="11">
        <f>IFERROR((F37+G37+H37)/E37,0)</f>
        <v/>
      </c>
      <c r="L37" s="10">
        <f>COUNTIFS('Test Cases'!$B$2:$B$546,$B37,'Test Cases'!$J$2:$J$546,"High")</f>
        <v/>
      </c>
    </row>
    <row r="38" ht="18" customHeight="1">
      <c r="B38" s="5" t="inlineStr">
        <is>
          <t>จัดซื้อ PR/PO &amp; สัญญา</t>
        </is>
      </c>
      <c r="C38" s="10" t="inlineStr">
        <is>
          <t>PUR</t>
        </is>
      </c>
      <c r="D38" s="5" t="inlineStr">
        <is>
          <t>ca34cc73</t>
        </is>
      </c>
      <c r="E38" s="10">
        <f>COUNTIF('Test Cases'!$B$2:$B$546,B38)</f>
        <v/>
      </c>
      <c r="F38" s="10">
        <f>COUNTIFS('Test Cases'!$B$2:$B$546,$B38,'Test Cases'!$M$2:$M$546,"ผ่าน")</f>
        <v/>
      </c>
      <c r="G38" s="10">
        <f>COUNTIFS('Test Cases'!$B$2:$B$546,$B38,'Test Cases'!$M$2:$M$546,"ไม่ผ่าน")</f>
        <v/>
      </c>
      <c r="H38" s="10">
        <f>COUNTIFS('Test Cases'!$B$2:$B$546,$B38,'Test Cases'!$M$2:$M$546,"ติดเงื่อนไข")</f>
        <v/>
      </c>
      <c r="I38" s="10">
        <f>COUNTIFS('Test Cases'!$B$2:$B$546,$B38,'Test Cases'!$M$2:$M$546,"ยังไม่ทดสอบ")</f>
        <v/>
      </c>
      <c r="J38" s="11">
        <f>IFERROR(F38/(F38+G38+H38),0)</f>
        <v/>
      </c>
      <c r="K38" s="11">
        <f>IFERROR((F38+G38+H38)/E38,0)</f>
        <v/>
      </c>
      <c r="L38" s="10">
        <f>COUNTIFS('Test Cases'!$B$2:$B$546,$B38,'Test Cases'!$J$2:$J$546,"High")</f>
        <v/>
      </c>
    </row>
    <row r="39" ht="18" customHeight="1">
      <c r="B39" s="5" t="inlineStr">
        <is>
          <t>ต้นทุน &amp; งบประมาณ</t>
        </is>
      </c>
      <c r="C39" s="10" t="inlineStr">
        <is>
          <t>BUD</t>
        </is>
      </c>
      <c r="D39" s="5" t="inlineStr">
        <is>
          <t>24532ac2 + 72307493</t>
        </is>
      </c>
      <c r="E39" s="10">
        <f>COUNTIF('Test Cases'!$B$2:$B$546,B39)</f>
        <v/>
      </c>
      <c r="F39" s="10">
        <f>COUNTIFS('Test Cases'!$B$2:$B$546,$B39,'Test Cases'!$M$2:$M$546,"ผ่าน")</f>
        <v/>
      </c>
      <c r="G39" s="10">
        <f>COUNTIFS('Test Cases'!$B$2:$B$546,$B39,'Test Cases'!$M$2:$M$546,"ไม่ผ่าน")</f>
        <v/>
      </c>
      <c r="H39" s="10">
        <f>COUNTIFS('Test Cases'!$B$2:$B$546,$B39,'Test Cases'!$M$2:$M$546,"ติดเงื่อนไข")</f>
        <v/>
      </c>
      <c r="I39" s="10">
        <f>COUNTIFS('Test Cases'!$B$2:$B$546,$B39,'Test Cases'!$M$2:$M$546,"ยังไม่ทดสอบ")</f>
        <v/>
      </c>
      <c r="J39" s="11">
        <f>IFERROR(F39/(F39+G39+H39),0)</f>
        <v/>
      </c>
      <c r="K39" s="11">
        <f>IFERROR((F39+G39+H39)/E39,0)</f>
        <v/>
      </c>
      <c r="L39" s="10">
        <f>COUNTIFS('Test Cases'!$B$2:$B$546,$B39,'Test Cases'!$J$2:$J$546,"High")</f>
        <v/>
      </c>
    </row>
    <row r="40" ht="18" customHeight="1">
      <c r="B40" s="5" t="inlineStr">
        <is>
          <t>RCA / FMEA / CAPA</t>
        </is>
      </c>
      <c r="C40" s="10" t="inlineStr">
        <is>
          <t>RCA</t>
        </is>
      </c>
      <c r="D40" s="5" t="inlineStr">
        <is>
          <t>0bbcc4ce</t>
        </is>
      </c>
      <c r="E40" s="10">
        <f>COUNTIF('Test Cases'!$B$2:$B$546,B40)</f>
        <v/>
      </c>
      <c r="F40" s="10">
        <f>COUNTIFS('Test Cases'!$B$2:$B$546,$B40,'Test Cases'!$M$2:$M$546,"ผ่าน")</f>
        <v/>
      </c>
      <c r="G40" s="10">
        <f>COUNTIFS('Test Cases'!$B$2:$B$546,$B40,'Test Cases'!$M$2:$M$546,"ไม่ผ่าน")</f>
        <v/>
      </c>
      <c r="H40" s="10">
        <f>COUNTIFS('Test Cases'!$B$2:$B$546,$B40,'Test Cases'!$M$2:$M$546,"ติดเงื่อนไข")</f>
        <v/>
      </c>
      <c r="I40" s="10">
        <f>COUNTIFS('Test Cases'!$B$2:$B$546,$B40,'Test Cases'!$M$2:$M$546,"ยังไม่ทดสอบ")</f>
        <v/>
      </c>
      <c r="J40" s="11">
        <f>IFERROR(F40/(F40+G40+H40),0)</f>
        <v/>
      </c>
      <c r="K40" s="11">
        <f>IFERROR((F40+G40+H40)/E40,0)</f>
        <v/>
      </c>
      <c r="L40" s="10">
        <f>COUNTIFS('Test Cases'!$B$2:$B$546,$B40,'Test Cases'!$J$2:$J$546,"High")</f>
        <v/>
      </c>
    </row>
    <row r="41" ht="18" customHeight="1">
      <c r="B41" s="5" t="inlineStr">
        <is>
          <t>รายงาน &amp; KPI</t>
        </is>
      </c>
      <c r="C41" s="10" t="inlineStr">
        <is>
          <t>RPT</t>
        </is>
      </c>
      <c r="D41" s="5" t="inlineStr">
        <is>
          <t>ec06d085 + c388f6ca</t>
        </is>
      </c>
      <c r="E41" s="10">
        <f>COUNTIF('Test Cases'!$B$2:$B$546,B41)</f>
        <v/>
      </c>
      <c r="F41" s="10">
        <f>COUNTIFS('Test Cases'!$B$2:$B$546,$B41,'Test Cases'!$M$2:$M$546,"ผ่าน")</f>
        <v/>
      </c>
      <c r="G41" s="10">
        <f>COUNTIFS('Test Cases'!$B$2:$B$546,$B41,'Test Cases'!$M$2:$M$546,"ไม่ผ่าน")</f>
        <v/>
      </c>
      <c r="H41" s="10">
        <f>COUNTIFS('Test Cases'!$B$2:$B$546,$B41,'Test Cases'!$M$2:$M$546,"ติดเงื่อนไข")</f>
        <v/>
      </c>
      <c r="I41" s="10">
        <f>COUNTIFS('Test Cases'!$B$2:$B$546,$B41,'Test Cases'!$M$2:$M$546,"ยังไม่ทดสอบ")</f>
        <v/>
      </c>
      <c r="J41" s="11">
        <f>IFERROR(F41/(F41+G41+H41),0)</f>
        <v/>
      </c>
      <c r="K41" s="11">
        <f>IFERROR((F41+G41+H41)/E41,0)</f>
        <v/>
      </c>
      <c r="L41" s="10">
        <f>COUNTIFS('Test Cases'!$B$2:$B$546,$B41,'Test Cases'!$J$2:$J$546,"High")</f>
        <v/>
      </c>
    </row>
    <row r="42" ht="18" customHeight="1">
      <c r="B42" s="5" t="inlineStr">
        <is>
          <t>ผู้ใช้งาน &amp; บทบาทสิทธิ์ (RBAC)</t>
        </is>
      </c>
      <c r="C42" s="10" t="inlineStr">
        <is>
          <t>USR</t>
        </is>
      </c>
      <c r="D42" s="5" t="inlineStr">
        <is>
          <t>96b71cd7</t>
        </is>
      </c>
      <c r="E42" s="10">
        <f>COUNTIF('Test Cases'!$B$2:$B$546,B42)</f>
        <v/>
      </c>
      <c r="F42" s="10">
        <f>COUNTIFS('Test Cases'!$B$2:$B$546,$B42,'Test Cases'!$M$2:$M$546,"ผ่าน")</f>
        <v/>
      </c>
      <c r="G42" s="10">
        <f>COUNTIFS('Test Cases'!$B$2:$B$546,$B42,'Test Cases'!$M$2:$M$546,"ไม่ผ่าน")</f>
        <v/>
      </c>
      <c r="H42" s="10">
        <f>COUNTIFS('Test Cases'!$B$2:$B$546,$B42,'Test Cases'!$M$2:$M$546,"ติดเงื่อนไข")</f>
        <v/>
      </c>
      <c r="I42" s="10">
        <f>COUNTIFS('Test Cases'!$B$2:$B$546,$B42,'Test Cases'!$M$2:$M$546,"ยังไม่ทดสอบ")</f>
        <v/>
      </c>
      <c r="J42" s="11">
        <f>IFERROR(F42/(F42+G42+H42),0)</f>
        <v/>
      </c>
      <c r="K42" s="11">
        <f>IFERROR((F42+G42+H42)/E42,0)</f>
        <v/>
      </c>
      <c r="L42" s="10">
        <f>COUNTIFS('Test Cases'!$B$2:$B$546,$B42,'Test Cases'!$J$2:$J$546,"High")</f>
        <v/>
      </c>
    </row>
    <row r="43" ht="18" customHeight="1">
      <c r="B43" s="5" t="inlineStr">
        <is>
          <t>ข้อมูลหลัก &amp; Custom Field Builder</t>
        </is>
      </c>
      <c r="C43" s="10" t="inlineStr">
        <is>
          <t>MD</t>
        </is>
      </c>
      <c r="D43" s="5" t="inlineStr">
        <is>
          <t>e7002c68</t>
        </is>
      </c>
      <c r="E43" s="10">
        <f>COUNTIF('Test Cases'!$B$2:$B$546,B43)</f>
        <v/>
      </c>
      <c r="F43" s="10">
        <f>COUNTIFS('Test Cases'!$B$2:$B$546,$B43,'Test Cases'!$M$2:$M$546,"ผ่าน")</f>
        <v/>
      </c>
      <c r="G43" s="10">
        <f>COUNTIFS('Test Cases'!$B$2:$B$546,$B43,'Test Cases'!$M$2:$M$546,"ไม่ผ่าน")</f>
        <v/>
      </c>
      <c r="H43" s="10">
        <f>COUNTIFS('Test Cases'!$B$2:$B$546,$B43,'Test Cases'!$M$2:$M$546,"ติดเงื่อนไข")</f>
        <v/>
      </c>
      <c r="I43" s="10">
        <f>COUNTIFS('Test Cases'!$B$2:$B$546,$B43,'Test Cases'!$M$2:$M$546,"ยังไม่ทดสอบ")</f>
        <v/>
      </c>
      <c r="J43" s="11">
        <f>IFERROR(F43/(F43+G43+H43),0)</f>
        <v/>
      </c>
      <c r="K43" s="11">
        <f>IFERROR((F43+G43+H43)/E43,0)</f>
        <v/>
      </c>
      <c r="L43" s="10">
        <f>COUNTIFS('Test Cases'!$B$2:$B$546,$B43,'Test Cases'!$J$2:$J$546,"High")</f>
        <v/>
      </c>
    </row>
    <row r="44" ht="18" customHeight="1">
      <c r="B44" s="5" t="inlineStr">
        <is>
          <t>ตั้งค่าระบบ &amp; การแจ้งเตือน/Cron</t>
        </is>
      </c>
      <c r="C44" s="10" t="inlineStr">
        <is>
          <t>SET</t>
        </is>
      </c>
      <c r="D44" s="5" t="inlineStr">
        <is>
          <t>8930fbad</t>
        </is>
      </c>
      <c r="E44" s="10">
        <f>COUNTIF('Test Cases'!$B$2:$B$546,B44)</f>
        <v/>
      </c>
      <c r="F44" s="10">
        <f>COUNTIFS('Test Cases'!$B$2:$B$546,$B44,'Test Cases'!$M$2:$M$546,"ผ่าน")</f>
        <v/>
      </c>
      <c r="G44" s="10">
        <f>COUNTIFS('Test Cases'!$B$2:$B$546,$B44,'Test Cases'!$M$2:$M$546,"ไม่ผ่าน")</f>
        <v/>
      </c>
      <c r="H44" s="10">
        <f>COUNTIFS('Test Cases'!$B$2:$B$546,$B44,'Test Cases'!$M$2:$M$546,"ติดเงื่อนไข")</f>
        <v/>
      </c>
      <c r="I44" s="10">
        <f>COUNTIFS('Test Cases'!$B$2:$B$546,$B44,'Test Cases'!$M$2:$M$546,"ยังไม่ทดสอบ")</f>
        <v/>
      </c>
      <c r="J44" s="11">
        <f>IFERROR(F44/(F44+G44+H44),0)</f>
        <v/>
      </c>
      <c r="K44" s="11">
        <f>IFERROR((F44+G44+H44)/E44,0)</f>
        <v/>
      </c>
      <c r="L44" s="10">
        <f>COUNTIFS('Test Cases'!$B$2:$B$546,$B44,'Test Cases'!$J$2:$J$546,"High")</f>
        <v/>
      </c>
    </row>
    <row r="45" ht="18" customHeight="1">
      <c r="B45" s="5" t="inlineStr">
        <is>
          <t>REST API &amp; Token</t>
        </is>
      </c>
      <c r="C45" s="10" t="inlineStr">
        <is>
          <t>API</t>
        </is>
      </c>
      <c r="D45" s="5" t="inlineStr">
        <is>
          <t>— (ไม่มี mockup)</t>
        </is>
      </c>
      <c r="E45" s="10">
        <f>COUNTIF('Test Cases'!$B$2:$B$546,B45)</f>
        <v/>
      </c>
      <c r="F45" s="10">
        <f>COUNTIFS('Test Cases'!$B$2:$B$546,$B45,'Test Cases'!$M$2:$M$546,"ผ่าน")</f>
        <v/>
      </c>
      <c r="G45" s="10">
        <f>COUNTIFS('Test Cases'!$B$2:$B$546,$B45,'Test Cases'!$M$2:$M$546,"ไม่ผ่าน")</f>
        <v/>
      </c>
      <c r="H45" s="10">
        <f>COUNTIFS('Test Cases'!$B$2:$B$546,$B45,'Test Cases'!$M$2:$M$546,"ติดเงื่อนไข")</f>
        <v/>
      </c>
      <c r="I45" s="10">
        <f>COUNTIFS('Test Cases'!$B$2:$B$546,$B45,'Test Cases'!$M$2:$M$546,"ยังไม่ทดสอบ")</f>
        <v/>
      </c>
      <c r="J45" s="11">
        <f>IFERROR(F45/(F45+G45+H45),0)</f>
        <v/>
      </c>
      <c r="K45" s="11">
        <f>IFERROR((F45+G45+H45)/E45,0)</f>
        <v/>
      </c>
      <c r="L45" s="10">
        <f>COUNTIFS('Test Cases'!$B$2:$B$546,$B45,'Test Cases'!$J$2:$J$546,"High")</f>
        <v/>
      </c>
    </row>
    <row r="46" ht="18" customHeight="1">
      <c r="B46" s="5" t="inlineStr">
        <is>
          <t>Audit Log</t>
        </is>
      </c>
      <c r="C46" s="10" t="inlineStr">
        <is>
          <t>AUD</t>
        </is>
      </c>
      <c r="D46" s="5" t="inlineStr">
        <is>
          <t>— (ไม่มี mockup)</t>
        </is>
      </c>
      <c r="E46" s="10">
        <f>COUNTIF('Test Cases'!$B$2:$B$546,B46)</f>
        <v/>
      </c>
      <c r="F46" s="10">
        <f>COUNTIFS('Test Cases'!$B$2:$B$546,$B46,'Test Cases'!$M$2:$M$546,"ผ่าน")</f>
        <v/>
      </c>
      <c r="G46" s="10">
        <f>COUNTIFS('Test Cases'!$B$2:$B$546,$B46,'Test Cases'!$M$2:$M$546,"ไม่ผ่าน")</f>
        <v/>
      </c>
      <c r="H46" s="10">
        <f>COUNTIFS('Test Cases'!$B$2:$B$546,$B46,'Test Cases'!$M$2:$M$546,"ติดเงื่อนไข")</f>
        <v/>
      </c>
      <c r="I46" s="10">
        <f>COUNTIFS('Test Cases'!$B$2:$B$546,$B46,'Test Cases'!$M$2:$M$546,"ยังไม่ทดสอบ")</f>
        <v/>
      </c>
      <c r="J46" s="11">
        <f>IFERROR(F46/(F46+G46+H46),0)</f>
        <v/>
      </c>
      <c r="K46" s="11">
        <f>IFERROR((F46+G46+H46)/E46,0)</f>
        <v/>
      </c>
      <c r="L46" s="10">
        <f>COUNTIFS('Test Cases'!$B$2:$B$546,$B46,'Test Cases'!$J$2:$J$546,"High")</f>
        <v/>
      </c>
    </row>
    <row r="47" ht="18" customHeight="1">
      <c r="B47" s="5" t="inlineStr">
        <is>
          <t>End-to-End (ข้ามโมดูล)</t>
        </is>
      </c>
      <c r="C47" s="10" t="inlineStr">
        <is>
          <t>E2E</t>
        </is>
      </c>
      <c r="D47" s="5" t="inlineStr">
        <is>
          <t>หลายหน้าจอ — ดูชีต End-to-End Scenarios</t>
        </is>
      </c>
      <c r="E47" s="10">
        <f>COUNTIF('Test Cases'!$B$2:$B$546,B47)</f>
        <v/>
      </c>
      <c r="F47" s="10">
        <f>COUNTIFS('Test Cases'!$B$2:$B$546,$B47,'Test Cases'!$M$2:$M$546,"ผ่าน")</f>
        <v/>
      </c>
      <c r="G47" s="10">
        <f>COUNTIFS('Test Cases'!$B$2:$B$546,$B47,'Test Cases'!$M$2:$M$546,"ไม่ผ่าน")</f>
        <v/>
      </c>
      <c r="H47" s="10">
        <f>COUNTIFS('Test Cases'!$B$2:$B$546,$B47,'Test Cases'!$M$2:$M$546,"ติดเงื่อนไข")</f>
        <v/>
      </c>
      <c r="I47" s="10">
        <f>COUNTIFS('Test Cases'!$B$2:$B$546,$B47,'Test Cases'!$M$2:$M$546,"ยังไม่ทดสอบ")</f>
        <v/>
      </c>
      <c r="J47" s="11">
        <f>IFERROR(F47/(F47+G47+H47),0)</f>
        <v/>
      </c>
      <c r="K47" s="11">
        <f>IFERROR((F47+G47+H47)/E47,0)</f>
        <v/>
      </c>
      <c r="L47" s="10">
        <f>COUNTIFS('Test Cases'!$B$2:$B$546,$B47,'Test Cases'!$J$2:$J$546,"High")</f>
        <v/>
      </c>
    </row>
    <row r="48">
      <c r="B48" s="12" t="inlineStr">
        <is>
          <t>รวมทั้งหมด</t>
        </is>
      </c>
      <c r="C48" s="13" t="n"/>
      <c r="D48" s="13" t="n"/>
      <c r="E48" s="13">
        <f>SUM(E19:E47)</f>
        <v/>
      </c>
      <c r="F48" s="13">
        <f>SUM(F19:F47)</f>
        <v/>
      </c>
      <c r="G48" s="13">
        <f>SUM(G19:G47)</f>
        <v/>
      </c>
      <c r="H48" s="13">
        <f>SUM(H19:H47)</f>
        <v/>
      </c>
      <c r="I48" s="13">
        <f>SUM(I19:I47)</f>
        <v/>
      </c>
      <c r="J48" s="14">
        <f>IFERROR(F48/(F48+G48+H48),0)</f>
        <v/>
      </c>
      <c r="K48" s="14">
        <f>IFERROR((F48+G48+H48)/E48,0)</f>
        <v/>
      </c>
      <c r="L48" s="13">
        <f>SUM(L19:L47)</f>
        <v/>
      </c>
    </row>
    <row r="49" ht="22" customHeight="1">
      <c r="B49" s="7" t="inlineStr">
        <is>
          <t>บทบาทผู้ทดสอบ (อ้างอิง RBAC ของระบบ — 11 บทบาท)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B50" s="15" t="inlineStr">
        <is>
          <t>บทบาท</t>
        </is>
      </c>
      <c r="C50" s="15" t="inlineStr">
        <is>
          <t>Role key</t>
        </is>
      </c>
      <c r="D50" s="15" t="inlineStr">
        <is>
          <t>บัญชีทดสอบ</t>
        </is>
      </c>
      <c r="E50" s="15" t="inlineStr">
        <is>
          <t>ขอบเขตข้อมูล</t>
        </is>
      </c>
      <c r="F50" s="16" t="n"/>
      <c r="G50" s="15" t="inlineStr">
        <is>
          <t>หน้าที่หลักใน UAT</t>
        </is>
      </c>
      <c r="H50" s="16" t="n"/>
      <c r="I50" s="16" t="n"/>
      <c r="J50" s="16" t="n"/>
      <c r="K50" s="16" t="n"/>
      <c r="L50" s="16" t="n"/>
    </row>
    <row r="51" ht="30" customHeight="1">
      <c r="B51" s="5" t="inlineStr">
        <is>
          <t>ผู้ดูแลระบบสูงสุด</t>
        </is>
      </c>
      <c r="C51" s="5" t="inlineStr">
        <is>
          <t>super_admin</t>
        </is>
      </c>
      <c r="D51" s="5" t="inlineStr">
        <is>
          <t>admin</t>
        </is>
      </c>
      <c r="E51" s="5" t="inlineStr">
        <is>
          <t>ทั้งหมด</t>
        </is>
      </c>
      <c r="F51" s="6" t="n"/>
      <c r="G51" s="5" t="inlineStr">
        <is>
          <t>ตั้งค่าระบบ, ผู้ใช้/RBAC, ข้อมูลหลัก &amp; Custom Field, ทดสอบภาพรวมทุกโมดูล</t>
        </is>
      </c>
      <c r="H51" s="6" t="n"/>
      <c r="I51" s="6" t="n"/>
      <c r="J51" s="6" t="n"/>
      <c r="K51" s="6" t="n"/>
      <c r="L51" s="6" t="n"/>
    </row>
    <row r="52" ht="30" customHeight="1">
      <c r="B52" s="5" t="inlineStr">
        <is>
          <t>ผู้จัดการทรัพย์สิน</t>
        </is>
      </c>
      <c r="C52" s="5" t="inlineStr">
        <is>
          <t>asset_manager</t>
        </is>
      </c>
      <c r="D52" s="5" t="inlineStr">
        <is>
          <t>asset.mgr</t>
        </is>
      </c>
      <c r="E52" s="5" t="inlineStr">
        <is>
          <t>ทั้งหมด</t>
        </is>
      </c>
      <c r="F52" s="6" t="n"/>
      <c r="G52" s="5" t="inlineStr">
        <is>
          <t>ทะเบียน, ป้าย QR, โอนย้าย/ยืม-คืน/จำหน่าย, ตรวจนับ, ติดตามตำแหน่ง, DAM</t>
        </is>
      </c>
      <c r="H52" s="6" t="n"/>
      <c r="I52" s="6" t="n"/>
      <c r="J52" s="6" t="n"/>
      <c r="K52" s="6" t="n"/>
      <c r="L52" s="6" t="n"/>
    </row>
    <row r="53" ht="30" customHeight="1">
      <c r="B53" s="5" t="inlineStr">
        <is>
          <t>บัญชีสินทรัพย์</t>
        </is>
      </c>
      <c r="C53" s="5" t="inlineStr">
        <is>
          <t>accountant</t>
        </is>
      </c>
      <c r="D53" s="5" t="inlineStr">
        <is>
          <t>account</t>
        </is>
      </c>
      <c r="E53" s="5" t="inlineStr">
        <is>
          <t>ทั้งหมด</t>
        </is>
      </c>
      <c r="F53" s="6" t="n"/>
      <c r="G53" s="5" t="inlineStr">
        <is>
          <t>ค่าเสื่อม/ปิดงวด/JV, งบประมาณ, อนุมัติจำหน่าย</t>
        </is>
      </c>
      <c r="H53" s="6" t="n"/>
      <c r="I53" s="6" t="n"/>
      <c r="J53" s="6" t="n"/>
      <c r="K53" s="6" t="n"/>
      <c r="L53" s="6" t="n"/>
    </row>
    <row r="54" ht="30" customHeight="1">
      <c r="B54" s="5" t="inlineStr">
        <is>
          <t>ผู้ดูแลระบบ IT</t>
        </is>
      </c>
      <c r="C54" s="5" t="inlineStr">
        <is>
          <t>it_admin</t>
        </is>
      </c>
      <c r="D54" s="5" t="inlineStr">
        <is>
          <t>it.admin</t>
        </is>
      </c>
      <c r="E54" s="5" t="inlineStr">
        <is>
          <t>ทั้งหมด</t>
        </is>
      </c>
      <c r="F54" s="6" t="n"/>
      <c r="G54" s="5" t="inlineStr">
        <is>
          <t>IT Asset &amp; License, IoT, แจ้งเตือน/Cron, REST API &amp; Token</t>
        </is>
      </c>
      <c r="H54" s="6" t="n"/>
      <c r="I54" s="6" t="n"/>
      <c r="J54" s="6" t="n"/>
      <c r="K54" s="6" t="n"/>
      <c r="L54" s="6" t="n"/>
    </row>
    <row r="55" ht="30" customHeight="1">
      <c r="B55" s="5" t="inlineStr">
        <is>
          <t>ผู้จัดการซ่อมบำรุง</t>
        </is>
      </c>
      <c r="C55" s="5" t="inlineStr">
        <is>
          <t>maint_manager</t>
        </is>
      </c>
      <c r="D55" s="5" t="inlineStr">
        <is>
          <t>maint.mgr</t>
        </is>
      </c>
      <c r="E55" s="5" t="inlineStr">
        <is>
          <t>ไซต์ของตน</t>
        </is>
      </c>
      <c r="F55" s="6" t="n"/>
      <c r="G55" s="5" t="inlineStr">
        <is>
          <t>คัดกรองแจ้งซ่อม, มอบหมาย/อนุมัติ WO, PM, สอบเทียบ, RCA/FMEA</t>
        </is>
      </c>
      <c r="H55" s="6" t="n"/>
      <c r="I55" s="6" t="n"/>
      <c r="J55" s="6" t="n"/>
      <c r="K55" s="6" t="n"/>
      <c r="L55" s="6" t="n"/>
    </row>
    <row r="56" ht="30" customHeight="1">
      <c r="B56" s="5" t="inlineStr">
        <is>
          <t>ช่างซ่อมบำรุง</t>
        </is>
      </c>
      <c r="C56" s="5" t="inlineStr">
        <is>
          <t>technician</t>
        </is>
      </c>
      <c r="D56" s="5" t="inlineStr">
        <is>
          <t>somchai, wichai, thanapol, anucha, preecha</t>
        </is>
      </c>
      <c r="E56" s="5" t="inlineStr">
        <is>
          <t>ไซต์ของตน</t>
        </is>
      </c>
      <c r="F56" s="6" t="n"/>
      <c r="G56" s="5" t="inlineStr">
        <is>
          <t>รับงาน/อัปเดต/ปิด WO, เช็คลิสต์, สแกนตรวจนับ/ตำแหน่ง</t>
        </is>
      </c>
      <c r="H56" s="6" t="n"/>
      <c r="I56" s="6" t="n"/>
      <c r="J56" s="6" t="n"/>
      <c r="K56" s="6" t="n"/>
      <c r="L56" s="6" t="n"/>
    </row>
    <row r="57" ht="30" customHeight="1">
      <c r="B57" s="5" t="inlineStr">
        <is>
          <t>เจ้าหน้าที่คลัง</t>
        </is>
      </c>
      <c r="C57" s="5" t="inlineStr">
        <is>
          <t>storekeeper</t>
        </is>
      </c>
      <c r="D57" s="5" t="inlineStr">
        <is>
          <t>store</t>
        </is>
      </c>
      <c r="E57" s="5" t="inlineStr">
        <is>
          <t>ไซต์ของตน</t>
        </is>
      </c>
      <c r="F57" s="6" t="n"/>
      <c r="G57" s="5" t="inlineStr">
        <is>
          <t>รับเข้า/เบิก/โอน/ปรับยอดอะไหล่, รับของจาก PO</t>
        </is>
      </c>
      <c r="H57" s="6" t="n"/>
      <c r="I57" s="6" t="n"/>
      <c r="J57" s="6" t="n"/>
      <c r="K57" s="6" t="n"/>
      <c r="L57" s="6" t="n"/>
    </row>
    <row r="58" ht="30" customHeight="1">
      <c r="B58" s="5" t="inlineStr">
        <is>
          <t>เจ้าหน้าที่จัดซื้อ</t>
        </is>
      </c>
      <c r="C58" s="5" t="inlineStr">
        <is>
          <t>purchaser</t>
        </is>
      </c>
      <c r="D58" s="5" t="inlineStr">
        <is>
          <t>purchase</t>
        </is>
      </c>
      <c r="E58" s="5" t="inlineStr">
        <is>
          <t>ทั้งหมด</t>
        </is>
      </c>
      <c r="F58" s="6" t="n"/>
      <c r="G58" s="5" t="inlineStr">
        <is>
          <t>สร้าง PR/PO, สัญญา MA/บริการ</t>
        </is>
      </c>
      <c r="H58" s="6" t="n"/>
      <c r="I58" s="6" t="n"/>
      <c r="J58" s="6" t="n"/>
      <c r="K58" s="6" t="n"/>
      <c r="L58" s="6" t="n"/>
    </row>
    <row r="59" ht="30" customHeight="1">
      <c r="B59" s="5" t="inlineStr">
        <is>
          <t>ผู้ตรวจสอบ</t>
        </is>
      </c>
      <c r="C59" s="5" t="inlineStr">
        <is>
          <t>auditor</t>
        </is>
      </c>
      <c r="D59" s="5" t="inlineStr">
        <is>
          <t>auditor</t>
        </is>
      </c>
      <c r="E59" s="5" t="inlineStr">
        <is>
          <t>ทั้งหมด (อ่านอย่างเดียว)</t>
        </is>
      </c>
      <c r="F59" s="6" t="n"/>
      <c r="G59" s="5" t="inlineStr">
        <is>
          <t>ตรวจสอบสิทธิ์อ่านอย่างเดียว, Audit Log, รายงาน</t>
        </is>
      </c>
      <c r="H59" s="6" t="n"/>
      <c r="I59" s="6" t="n"/>
      <c r="J59" s="6" t="n"/>
      <c r="K59" s="6" t="n"/>
      <c r="L59" s="6" t="n"/>
    </row>
    <row r="60" ht="30" customHeight="1">
      <c r="B60" s="5" t="inlineStr">
        <is>
          <t>ผู้แจ้งซ่อม/ผู้ใช้งานทั่วไป</t>
        </is>
      </c>
      <c r="C60" s="5" t="inlineStr">
        <is>
          <t>requester</t>
        </is>
      </c>
      <c r="D60" s="5" t="inlineStr">
        <is>
          <t>user</t>
        </is>
      </c>
      <c r="E60" s="5" t="inlineStr">
        <is>
          <t>เฉพาะที่ถือครอง</t>
        </is>
      </c>
      <c r="F60" s="6" t="n"/>
      <c r="G60" s="5" t="inlineStr">
        <is>
          <t>แจ้งซ่อม (เว็บ/QR/มือถือ), ดูทรัพย์สินที่ถือครอง</t>
        </is>
      </c>
      <c r="H60" s="6" t="n"/>
      <c r="I60" s="6" t="n"/>
      <c r="J60" s="6" t="n"/>
      <c r="K60" s="6" t="n"/>
      <c r="L60" s="6" t="n"/>
    </row>
    <row r="61" ht="30" customHeight="1">
      <c r="B61" s="5" t="inlineStr">
        <is>
          <t>ผู้บริหาร</t>
        </is>
      </c>
      <c r="C61" s="5" t="inlineStr">
        <is>
          <t>executive</t>
        </is>
      </c>
      <c r="D61" s="5" t="inlineStr">
        <is>
          <t>exec</t>
        </is>
      </c>
      <c r="E61" s="5" t="inlineStr">
        <is>
          <t>ทั้งหมด</t>
        </is>
      </c>
      <c r="F61" s="6" t="n"/>
      <c r="G61" s="5" t="inlineStr">
        <is>
          <t>แดชบอร์ด/รายงาน, อนุมัติ PR/PO และแผนลงทุน</t>
        </is>
      </c>
      <c r="H61" s="6" t="n"/>
      <c r="I61" s="6" t="n"/>
      <c r="J61" s="6" t="n"/>
      <c r="K61" s="6" t="n"/>
      <c r="L61" s="6" t="n"/>
    </row>
    <row r="63" ht="22" customHeight="1">
      <c r="B63" s="7" t="inlineStr">
        <is>
          <t>เกณฑ์เริ่มการทดสอบ (Entry Criteria)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18.5" customHeight="1">
      <c r="B64" s="17" t="inlineStr">
        <is>
          <t>•  ระบบ build สำหรับ UAT ติดตั้งบนสภาพแวดล้อมทดสอบแล้ว และผ่าน SIT (ไม่มี Defect Critical ค้าง)</t>
        </is>
      </c>
    </row>
    <row r="65" ht="18.5" customHeight="1">
      <c r="B65" s="17" t="inlineStr">
        <is>
          <t>•  ข้อมูลหลัก (ไซต์, อาคาร, แผนก, ศูนย์ต้นทุน, หมวด, SLA, วันหยุด) และข้อมูลทดสอบตามหน้าปกถูกเตรียมครบ</t>
        </is>
      </c>
    </row>
    <row r="66" ht="18.5" customHeight="1">
      <c r="B66" s="17" t="inlineStr">
        <is>
          <t>•  บัญชีผู้ทดสอบครบทั้ง 11 บทบาท พร้อมขอบเขตข้อมูลที่ถูกต้อง</t>
        </is>
      </c>
    </row>
    <row r="67" ht="18.5" customHeight="1">
      <c r="B67" s="17" t="inlineStr">
        <is>
          <t>•  ช่องทางแจ้งเตือน (LINE/Telegram/SMTP) และ Cron ตั้งค่าในสภาพแวดล้อมทดสอบ (สำหรับ TC ที่เกี่ยวข้อง)</t>
        </is>
      </c>
    </row>
    <row r="68" ht="18.5" customHeight="1">
      <c r="B68" s="17" t="inlineStr">
        <is>
          <t>•  ผู้ทดสอบได้รับการอบรมการใช้ระบบและเอกสารนี้ และตกลงตารางเวลาการทดสอบ</t>
        </is>
      </c>
    </row>
    <row r="70" ht="22" customHeight="1">
      <c r="B70" s="7" t="inlineStr">
        <is>
          <t>เกณฑ์สิ้นสุด/ยอมรับ (Exit Criteria)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.5" customHeight="1">
      <c r="B71" s="17" t="inlineStr">
        <is>
          <t>•  ดำเนินการทดสอบครบ 100% ของ Test Case (ไม่มีสถานะ "ยังไม่ทดสอบ") และครบทุก End-to-End Scenario</t>
        </is>
      </c>
    </row>
    <row r="72" ht="18.5" customHeight="1">
      <c r="B72" s="17" t="inlineStr">
        <is>
          <t>•  Test Case ระดับ High ผ่าน 100%; อัตราผ่านรวม ≥ 95%</t>
        </is>
      </c>
    </row>
    <row r="73" ht="18.5" customHeight="1">
      <c r="B73" s="17" t="inlineStr">
        <is>
          <t>•  ไม่มี Defect ระดับ Critical/High ที่ยังเปิดอยู่; Defect Medium/Low ที่เหลือมีแผนแก้ไขและได้รับการยอมรับจากผู้ใช้หลัก</t>
        </is>
      </c>
    </row>
    <row r="74" ht="18.5" customHeight="1">
      <c r="B74" s="17" t="inlineStr">
        <is>
          <t>•  Test Case สถานะ "ติดเงื่อนไข" มีเงื่อนไขและผู้รับผิดชอบระบุชัดเจน</t>
        </is>
      </c>
    </row>
    <row r="75" ht="18.5" customHeight="1">
      <c r="B75" s="17" t="inlineStr">
        <is>
          <t>•  ผู้มีอำนาจลงนามในชีต Sign-off ครบทุกฝ่าย</t>
        </is>
      </c>
    </row>
    <row r="77" ht="22" customHeight="1">
      <c r="B77" s="7" t="inlineStr">
        <is>
          <t>นิยามสถานะและระดับความรุนแรง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18.5" customHeight="1">
      <c r="B78" s="17" t="inlineStr">
        <is>
          <t>•  สถานะผลทดสอบ: ผ่าน = ผลตรงกับที่คาดหวัง · ไม่ผ่าน = ผลไม่ตรง ต้องบันทึก Defect ID · ติดเงื่อนไข = ผ่านบางส่วน/ทดสอบได้ไม่ครบเพราะข้อจำกัด (ระบุในหมายเหตุ) · ยังไม่ทดสอบ = ค่าเริ่มต้น</t>
        </is>
      </c>
    </row>
    <row r="79" ht="18.5" customHeight="1">
      <c r="B79" s="17" t="inlineStr">
        <is>
          <t>•  Severity: Critical = ระบบล่ม/ข้อมูลเสียหาย/ไม่มีทางเลี่ยง · High = ฟังก์ชันหลักใช้ไม่ได้ · Medium = ใช้งานได้แต่มีทางเลี่ยง · Low = ความสวยงาม/ข้อความ</t>
        </is>
      </c>
    </row>
    <row r="80" ht="18.5" customHeight="1">
      <c r="B80" s="17" t="inlineStr">
        <is>
          <t>•  ประเภท TC: Functional, UI, Validation, Permission (RBAC/ขอบเขตข้อมูล), Negative, Responsive (มือถือ 375px / Desktop 1920px)</t>
        </is>
      </c>
    </row>
  </sheetData>
  <mergeCells count="47">
    <mergeCell ref="E50:F50"/>
    <mergeCell ref="B75:L75"/>
    <mergeCell ref="G57:L57"/>
    <mergeCell ref="E55:F55"/>
    <mergeCell ref="C8:L8"/>
    <mergeCell ref="B72:L72"/>
    <mergeCell ref="G53:L53"/>
    <mergeCell ref="C7:L7"/>
    <mergeCell ref="E52:F52"/>
    <mergeCell ref="B66:L66"/>
    <mergeCell ref="B71:L71"/>
    <mergeCell ref="C13:L13"/>
    <mergeCell ref="E51:F51"/>
    <mergeCell ref="G58:L58"/>
    <mergeCell ref="C15:L15"/>
    <mergeCell ref="G55:L55"/>
    <mergeCell ref="G51:L51"/>
    <mergeCell ref="C6:L6"/>
    <mergeCell ref="E60:F60"/>
    <mergeCell ref="B67:L67"/>
    <mergeCell ref="C14:L14"/>
    <mergeCell ref="G54:L54"/>
    <mergeCell ref="E59:F59"/>
    <mergeCell ref="B73:L73"/>
    <mergeCell ref="G50:L50"/>
    <mergeCell ref="E58:F58"/>
    <mergeCell ref="B78:L78"/>
    <mergeCell ref="G60:L60"/>
    <mergeCell ref="G56:L56"/>
    <mergeCell ref="E61:F61"/>
    <mergeCell ref="C10:L10"/>
    <mergeCell ref="G52:L52"/>
    <mergeCell ref="G59:L59"/>
    <mergeCell ref="E57:F57"/>
    <mergeCell ref="B65:L65"/>
    <mergeCell ref="B74:L74"/>
    <mergeCell ref="E54:F54"/>
    <mergeCell ref="B68:L68"/>
    <mergeCell ref="C9:L9"/>
    <mergeCell ref="B64:L64"/>
    <mergeCell ref="B80:L80"/>
    <mergeCell ref="G61:L61"/>
    <mergeCell ref="E53:F53"/>
    <mergeCell ref="C12:L12"/>
    <mergeCell ref="E56:F56"/>
    <mergeCell ref="B79:L79"/>
    <mergeCell ref="C11:L11"/>
  </mergeCells>
  <conditionalFormatting sqref="G19:G47">
    <cfRule type="cellIs" priority="1" operator="greaterThan" dxfId="0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546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2" customWidth="1" min="5" max="5"/>
    <col width="28" customWidth="1" min="6" max="6"/>
    <col width="46" customWidth="1" min="7" max="7"/>
    <col width="28" customWidth="1" min="8" max="8"/>
    <col width="46" customWidth="1" min="9" max="9"/>
    <col width="11" customWidth="1" min="10" max="10"/>
    <col width="22" customWidth="1" min="11" max="11"/>
    <col width="26" customWidth="1" min="12" max="12"/>
    <col width="14" customWidth="1" min="13" max="13"/>
    <col width="14" customWidth="1" min="14" max="14"/>
    <col width="13" customWidth="1" min="15" max="15"/>
    <col width="30" customWidth="1" min="16" max="16"/>
    <col width="18" customWidth="1" min="17" max="17"/>
  </cols>
  <sheetData>
    <row r="1" ht="32" customHeight="1">
      <c r="A1" s="9" t="inlineStr">
        <is>
          <t>TC ID</t>
        </is>
      </c>
      <c r="B1" s="9" t="inlineStr">
        <is>
          <t>โมดูล</t>
        </is>
      </c>
      <c r="C1" s="9" t="inlineStr">
        <is>
          <t>หน้าจอ</t>
        </is>
      </c>
      <c r="D1" s="9" t="inlineStr">
        <is>
          <t>Scenario</t>
        </is>
      </c>
      <c r="E1" s="9" t="inlineStr">
        <is>
          <t>ประเภท</t>
        </is>
      </c>
      <c r="F1" s="9" t="inlineStr">
        <is>
          <t>เงื่อนไขก่อนทดสอบ</t>
        </is>
      </c>
      <c r="G1" s="9" t="inlineStr">
        <is>
          <t>ขั้นตอนการทดสอบ</t>
        </is>
      </c>
      <c r="H1" s="9" t="inlineStr">
        <is>
          <t>ข้อมูลทดสอบ</t>
        </is>
      </c>
      <c r="I1" s="9" t="inlineStr">
        <is>
          <t>ผลลัพธ์ที่คาดหวัง</t>
        </is>
      </c>
      <c r="J1" s="9" t="inlineStr">
        <is>
          <t>ระดับความสำคัญ</t>
        </is>
      </c>
      <c r="K1" s="9" t="inlineStr">
        <is>
          <t>บทบาทผู้ทดสอบ</t>
        </is>
      </c>
      <c r="L1" s="9" t="inlineStr">
        <is>
          <t>ผลทดสอบจริง</t>
        </is>
      </c>
      <c r="M1" s="9" t="inlineStr">
        <is>
          <t>สถานะ</t>
        </is>
      </c>
      <c r="N1" s="9" t="inlineStr">
        <is>
          <t>ผู้ทดสอบ</t>
        </is>
      </c>
      <c r="O1" s="9" t="inlineStr">
        <is>
          <t>วันที่ทดสอบ</t>
        </is>
      </c>
      <c r="P1" s="9" t="inlineStr">
        <is>
          <t>หมายเหตุ/Defect ID</t>
        </is>
      </c>
      <c r="Q1" s="9" t="inlineStr">
        <is>
          <t>อ้างอิงหน้าจอ Mockup</t>
        </is>
      </c>
    </row>
    <row r="2" ht="47.5" customHeight="1">
      <c r="A2" s="10" t="inlineStr">
        <is>
          <t>UAT-GEN-001</t>
        </is>
      </c>
      <c r="B2" s="5" t="inlineStr">
        <is>
          <t>ส่วนกลาง (Shell / Navigation / ทั่วไป)</t>
        </is>
      </c>
      <c r="C2" s="5" t="inlineStr">
        <is>
          <t>Shell ทุกหน้าจอ</t>
        </is>
      </c>
      <c r="D2" s="5" t="inlineStr">
        <is>
          <t>เข้าสู่ระบบด้วยบัญชีที่ถูกต้อง</t>
        </is>
      </c>
      <c r="E2" s="10" t="inlineStr">
        <is>
          <t>Functional</t>
        </is>
      </c>
      <c r="F2" s="5" t="inlineStr">
        <is>
          <t>มีบัญชีผู้ใช้ admin สถานะใช้งาน</t>
        </is>
      </c>
      <c r="G2" s="5" t="inlineStr">
        <is>
          <t>1. เปิด URL ระบบ
2. กรอก Username/Password
3. กดเข้าสู่ระบบ</t>
        </is>
      </c>
      <c r="H2" s="5" t="inlineStr">
        <is>
          <t>admin / รหัสผ่านที่ถูกต้อง</t>
        </is>
      </c>
      <c r="I2" s="5" t="inlineStr">
        <is>
          <t>เข้าสู่หน้า Command Center; มุมขวาบนแสดง "Admin · ผู้ดูแลระบบสูงสุด"</t>
        </is>
      </c>
      <c r="J2" s="10" t="inlineStr">
        <is>
          <t>High</t>
        </is>
      </c>
      <c r="K2" s="5" t="inlineStr">
        <is>
          <t>ผู้ดูแลระบบสูงสุด (admin)</t>
        </is>
      </c>
      <c r="L2" s="5" t="n"/>
      <c r="M2" s="10" t="inlineStr">
        <is>
          <t>ยังไม่ทดสอบ</t>
        </is>
      </c>
      <c r="N2" s="5" t="n"/>
      <c r="O2" s="18" t="n"/>
      <c r="P2" s="5" t="inlineStr">
        <is>
          <t>หน้า Login ยังไม่มี mockup — อ้างอิงระบบเดิม</t>
        </is>
      </c>
      <c r="Q2" s="5" t="inlineStr">
        <is>
          <t>ทุกหน้าจอ (c916d36c เป็นหลัก)</t>
        </is>
      </c>
    </row>
    <row r="3" ht="47.5" customHeight="1">
      <c r="A3" s="10" t="inlineStr">
        <is>
          <t>UAT-GEN-002</t>
        </is>
      </c>
      <c r="B3" s="5" t="inlineStr">
        <is>
          <t>ส่วนกลาง (Shell / Navigation / ทั่วไป)</t>
        </is>
      </c>
      <c r="C3" s="5" t="inlineStr">
        <is>
          <t>Shell ทุกหน้าจอ</t>
        </is>
      </c>
      <c r="D3" s="5" t="inlineStr">
        <is>
          <t>เข้าสู่ระบบด้วยรหัสผ่านผิดเกินจำนวนครั้ง</t>
        </is>
      </c>
      <c r="E3" s="10" t="inlineStr">
        <is>
          <t>Negative</t>
        </is>
      </c>
      <c r="F3" s="5" t="inlineStr">
        <is>
          <t>มีบัญชี somchai</t>
        </is>
      </c>
      <c r="G3" s="5" t="inlineStr">
        <is>
          <t>1. กรอกรหัสผ่านผิดติดต่อกัน 5 ครั้ง
2. ตรวจข้อความแจ้งเตือน
3. ตรวจ Audit Log</t>
        </is>
      </c>
      <c r="H3" s="5" t="inlineStr">
        <is>
          <t>somchai / รหัสผิด</t>
        </is>
      </c>
      <c r="I3" s="5" t="inlineStr">
        <is>
          <t>แสดงข้อความภาษาไทยว่ารหัสผ่านไม่ถูกต้อง; ครบเกณฑ์บัญชีถูกล็อก (สถานะ "ถูกล็อก"); Audit Log บันทึก action lockout</t>
        </is>
      </c>
      <c r="J3" s="10" t="inlineStr">
        <is>
          <t>High</t>
        </is>
      </c>
      <c r="K3" s="5" t="inlineStr">
        <is>
          <t>ช่างซ่อมบำรุง (somchai)</t>
        </is>
      </c>
      <c r="L3" s="5" t="n"/>
      <c r="M3" s="10" t="inlineStr">
        <is>
          <t>ยังไม่ทดสอบ</t>
        </is>
      </c>
      <c r="N3" s="5" t="n"/>
      <c r="O3" s="18" t="n"/>
      <c r="P3" s="5" t="inlineStr">
        <is>
          <t>หน้า Login ยังไม่มี mockup — อ้างอิงระบบเดิม (Audit action: lockout)</t>
        </is>
      </c>
      <c r="Q3" s="5" t="inlineStr">
        <is>
          <t>ทุกหน้าจอ (c916d36c เป็นหลัก)</t>
        </is>
      </c>
    </row>
    <row r="4" ht="62" customHeight="1">
      <c r="A4" s="10" t="inlineStr">
        <is>
          <t>UAT-GEN-003</t>
        </is>
      </c>
      <c r="B4" s="5" t="inlineStr">
        <is>
          <t>ส่วนกลาง (Shell / Navigation / ทั่วไป)</t>
        </is>
      </c>
      <c r="C4" s="5" t="inlineStr">
        <is>
          <t>Shell ทุกหน้าจอ</t>
        </is>
      </c>
      <c r="D4" s="5" t="inlineStr">
        <is>
          <t>เมนูด้านซ้ายแสดงครบทุกกลุ่มและไฮไลต์หน้าปัจจุบัน</t>
        </is>
      </c>
      <c r="E4" s="10" t="inlineStr">
        <is>
          <t>UI</t>
        </is>
      </c>
      <c r="F4" s="5" t="inlineStr">
        <is>
          <t>เข้าสู่ระบบแล้ว</t>
        </is>
      </c>
      <c r="G4" s="5" t="inlineStr">
        <is>
          <t>1. ตรวจกลุ่มเมนู ภาพรวม / ทรัพย์สิน / ซ่อมบำรุง / คลัง &amp; จัดซื้อ / วิเคราะห์ / ระบบ
2. คลิกเมนู "ใบสั่งงาน (WO)"
3. ตรวจสถานะ active ของเมนู</t>
        </is>
      </c>
      <c r="H4" s="5" t="inlineStr">
        <is>
          <t>-</t>
        </is>
      </c>
      <c r="I4" s="5" t="inlineStr">
        <is>
          <t>แสดงเมนูครบตามโครงสร้าง (รวม พิมพ์ป้าย QR/Barcode, REST API &amp; Token, Audit Log); เมนูหน้าปัจจุบันถูกไฮไลต์; badge จำนวน WO 18, PM 6, คลังอะไหล่ 3 แสดงถูกต้อง</t>
        </is>
      </c>
      <c r="J4" s="10" t="inlineStr">
        <is>
          <t>Medium</t>
        </is>
      </c>
      <c r="K4" s="5" t="inlineStr">
        <is>
          <t>ผู้ดูแลระบบสูงสุด (admin)</t>
        </is>
      </c>
      <c r="L4" s="5" t="n"/>
      <c r="M4" s="10" t="inlineStr">
        <is>
          <t>ยังไม่ทดสอบ</t>
        </is>
      </c>
      <c r="N4" s="5" t="n"/>
      <c r="O4" s="18" t="n"/>
      <c r="P4" s="5" t="n"/>
      <c r="Q4" s="5" t="inlineStr">
        <is>
          <t>ทุกหน้าจอ (c916d36c เป็นหลัก)</t>
        </is>
      </c>
    </row>
    <row r="5" ht="33" customHeight="1">
      <c r="A5" s="10" t="inlineStr">
        <is>
          <t>UAT-GEN-004</t>
        </is>
      </c>
      <c r="B5" s="5" t="inlineStr">
        <is>
          <t>ส่วนกลาง (Shell / Navigation / ทั่วไป)</t>
        </is>
      </c>
      <c r="C5" s="5" t="inlineStr">
        <is>
          <t>Shell ทุกหน้าจอ</t>
        </is>
      </c>
      <c r="D5" s="5" t="inlineStr">
        <is>
          <t>ย่อ/ขยายเมนูด้านซ้าย</t>
        </is>
      </c>
      <c r="E5" s="10" t="inlineStr">
        <is>
          <t>UI</t>
        </is>
      </c>
      <c r="F5" s="5" t="inlineStr">
        <is>
          <t>เข้าสู่ระบบแล้ว</t>
        </is>
      </c>
      <c r="G5" s="5" t="inlineStr">
        <is>
          <t>1. คลิกปุ่มเมนู (☰)
2. คลิกอีกครั้ง</t>
        </is>
      </c>
      <c r="H5" s="5" t="inlineStr">
        <is>
          <t>-</t>
        </is>
      </c>
      <c r="I5" s="5" t="inlineStr">
        <is>
          <t>เมนูย่อ/ขยายได้; เนื้อหาหลักปรับความกว้างอัตโนมัติ ไม่ซ้อนทับ</t>
        </is>
      </c>
      <c r="J5" s="10" t="inlineStr">
        <is>
          <t>Low</t>
        </is>
      </c>
      <c r="K5" s="5" t="inlineStr">
        <is>
          <t>ผู้ดูแลระบบสูงสุด (admin)</t>
        </is>
      </c>
      <c r="L5" s="5" t="n"/>
      <c r="M5" s="10" t="inlineStr">
        <is>
          <t>ยังไม่ทดสอบ</t>
        </is>
      </c>
      <c r="N5" s="5" t="n"/>
      <c r="O5" s="18" t="n"/>
      <c r="P5" s="5" t="n"/>
      <c r="Q5" s="5" t="inlineStr">
        <is>
          <t>ทุกหน้าจอ (c916d36c เป็นหลัก)</t>
        </is>
      </c>
    </row>
    <row r="6" ht="62" customHeight="1">
      <c r="A6" s="10" t="inlineStr">
        <is>
          <t>UAT-GEN-005</t>
        </is>
      </c>
      <c r="B6" s="5" t="inlineStr">
        <is>
          <t>ส่วนกลาง (Shell / Navigation / ทั่วไป)</t>
        </is>
      </c>
      <c r="C6" s="5" t="inlineStr">
        <is>
          <t>Shell ทุกหน้าจอ</t>
        </is>
      </c>
      <c r="D6" s="5" t="inlineStr">
        <is>
          <t>ตัวเลือกไซต์ (Multi-site) ที่แถบบน</t>
        </is>
      </c>
      <c r="E6" s="10" t="inlineStr">
        <is>
          <t>Functional</t>
        </is>
      </c>
      <c r="F6" s="5" t="inlineStr">
        <is>
          <t>เข้าสู่ระบบแล้ว</t>
        </is>
      </c>
      <c r="G6" s="5" t="inlineStr">
        <is>
          <t>1. คลิก dropdown ไซต์ที่แถบบน
2. เลือก "โรงงานระยอง"
3. ตรวจ KPI/ตาราง
4. เปลี่ยนกลับเป็น "ทุกไซต์"</t>
        </is>
      </c>
      <c r="H6" s="5" t="inlineStr">
        <is>
          <t>ไซต์: ทุกไซต์ / โรงงานสมุทรสาคร / โรงงานระยอง</t>
        </is>
      </c>
      <c r="I6" s="5" t="inlineStr">
        <is>
          <t>ตัวเลือกมี 3 รายการ ทุกไซต์ (ค่าเริ่มต้น), โรงงานสมุทรสาคร, โรงงานระยอง; ข้อมูลในหน้ากรองตามไซต์ที่เลือก; ค่าไซต์คงอยู่เมื่อเปลี่ยนหน้า</t>
        </is>
      </c>
      <c r="J6" s="10" t="inlineStr">
        <is>
          <t>High</t>
        </is>
      </c>
      <c r="K6" s="5" t="inlineStr">
        <is>
          <t>ผู้ดูแลระบบสูงสุด (admin)</t>
        </is>
      </c>
      <c r="L6" s="5" t="n"/>
      <c r="M6" s="10" t="inlineStr">
        <is>
          <t>ยังไม่ทดสอบ</t>
        </is>
      </c>
      <c r="N6" s="5" t="n"/>
      <c r="O6" s="18" t="n"/>
      <c r="P6" s="5" t="n"/>
      <c r="Q6" s="5" t="inlineStr">
        <is>
          <t>ทุกหน้าจอ (c916d36c เป็นหลัก)</t>
        </is>
      </c>
    </row>
    <row r="7" ht="62" customHeight="1">
      <c r="A7" s="10" t="inlineStr">
        <is>
          <t>UAT-GEN-006</t>
        </is>
      </c>
      <c r="B7" s="5" t="inlineStr">
        <is>
          <t>ส่วนกลาง (Shell / Navigation / ทั่วไป)</t>
        </is>
      </c>
      <c r="C7" s="5" t="inlineStr">
        <is>
          <t>Shell ทุกหน้าจอ</t>
        </is>
      </c>
      <c r="D7" s="5" t="inlineStr">
        <is>
          <t>ความสอดคล้องของชื่อไซต์ในทุกหน้าจอ</t>
        </is>
      </c>
      <c r="E7" s="10" t="inlineStr">
        <is>
          <t>UI</t>
        </is>
      </c>
      <c r="F7" s="5" t="inlineStr">
        <is>
          <t>เข้าสู่ระบบแล้ว</t>
        </is>
      </c>
      <c r="G7" s="5" t="inlineStr">
        <is>
          <t>1. เปิดหน้าจอทุกโมดูลทีละหน้า
2. เปิด dropdown ไซต์และบันทึกชื่อไซต์ที่แสดง</t>
        </is>
      </c>
      <c r="H7" s="5" t="inlineStr">
        <is>
          <t>-</t>
        </is>
      </c>
      <c r="I7" s="5" t="inlineStr">
        <is>
          <t>ทุกหน้าจอใช้รายชื่อไซต์ชุดเดียวกัน (ทุกไซต์/โรงงานสมุทรสาคร/โรงงานระยอง) ตามข้อมูลหลัก</t>
        </is>
      </c>
      <c r="J7" s="10" t="inlineStr">
        <is>
          <t>Medium</t>
        </is>
      </c>
      <c r="K7" s="5" t="inlineStr">
        <is>
          <t>ผู้ดูแลระบบสูงสุด (admin)</t>
        </is>
      </c>
      <c r="L7" s="5" t="n"/>
      <c r="M7" s="10" t="inlineStr">
        <is>
          <t>ยังไม่ทดสอบ</t>
        </is>
      </c>
      <c r="N7" s="5" t="n"/>
      <c r="O7" s="18" t="n"/>
      <c r="P7" s="5" t="inlineStr">
        <is>
          <t>ข้อสังเกตจาก mockup: บางหน้าจอใช้ชื่อไซต์ตัวอย่างต่างกัน (เช่น โรงงานบางนา, โรงงาน A/B, สำนักงานใหญ่) — ควรแก้ให้ตรงข้อมูลหลัก</t>
        </is>
      </c>
      <c r="Q7" s="5" t="inlineStr">
        <is>
          <t>ทุกหน้าจอ (c916d36c เป็นหลัก)</t>
        </is>
      </c>
    </row>
    <row r="8" ht="47.5" customHeight="1">
      <c r="A8" s="10" t="inlineStr">
        <is>
          <t>UAT-GEN-007</t>
        </is>
      </c>
      <c r="B8" s="5" t="inlineStr">
        <is>
          <t>ส่วนกลาง (Shell / Navigation / ทั่วไป)</t>
        </is>
      </c>
      <c r="C8" s="5" t="inlineStr">
        <is>
          <t>Shell ทุกหน้าจอ</t>
        </is>
      </c>
      <c r="D8" s="5" t="inlineStr">
        <is>
          <t>ค้นหาทั่วระบบด้วย Ctrl+K</t>
        </is>
      </c>
      <c r="E8" s="10" t="inlineStr">
        <is>
          <t>Functional</t>
        </is>
      </c>
      <c r="F8" s="5" t="inlineStr">
        <is>
          <t>เข้าสู่ระบบแล้ว</t>
        </is>
      </c>
      <c r="G8" s="5" t="inlineStr">
        <is>
          <t>1. กด Ctrl+K (หรือ ⌘K)
2. พิมพ์ Asset Tag
3. เลือกผลลัพธ์</t>
        </is>
      </c>
      <c r="H8" s="5" t="inlineStr">
        <is>
          <t>คำค้น: CONV-03, WO-2569-0003, NB-0231, M365</t>
        </is>
      </c>
      <c r="I8" s="5" t="inlineStr">
        <is>
          <t>Cursor ไปที่ช่องค้นหา "ค้นหา Asset Tag, S/N, WO, ไลเซนส์…"; แสดงผลลัพธ์จากหลายโมดูล; คลิกแล้วไปยังหน้ารายละเอียดที่ถูกต้อง</t>
        </is>
      </c>
      <c r="J8" s="10" t="inlineStr">
        <is>
          <t>Medium</t>
        </is>
      </c>
      <c r="K8" s="5" t="inlineStr">
        <is>
          <t>ผู้ดูแลระบบสูงสุด (admin)</t>
        </is>
      </c>
      <c r="L8" s="5" t="n"/>
      <c r="M8" s="10" t="inlineStr">
        <is>
          <t>ยังไม่ทดสอบ</t>
        </is>
      </c>
      <c r="N8" s="5" t="n"/>
      <c r="O8" s="18" t="n"/>
      <c r="P8" s="5" t="n"/>
      <c r="Q8" s="5" t="inlineStr">
        <is>
          <t>ทุกหน้าจอ (c916d36c เป็นหลัก)</t>
        </is>
      </c>
    </row>
    <row r="9" ht="33" customHeight="1">
      <c r="A9" s="10" t="inlineStr">
        <is>
          <t>UAT-GEN-008</t>
        </is>
      </c>
      <c r="B9" s="5" t="inlineStr">
        <is>
          <t>ส่วนกลาง (Shell / Navigation / ทั่วไป)</t>
        </is>
      </c>
      <c r="C9" s="5" t="inlineStr">
        <is>
          <t>Shell ทุกหน้าจอ</t>
        </is>
      </c>
      <c r="D9" s="5" t="inlineStr">
        <is>
          <t>ปุ่มลัด "+ แจ้งซ่อม" ที่แถบบน</t>
        </is>
      </c>
      <c r="E9" s="10" t="inlineStr">
        <is>
          <t>Functional</t>
        </is>
      </c>
      <c r="F9" s="5" t="inlineStr">
        <is>
          <t>เข้าสู่ระบบแล้ว</t>
        </is>
      </c>
      <c r="G9" s="5" t="inlineStr">
        <is>
          <t>1. อยู่หน้าใดก็ได้ (เช่น ทะเบียนทรัพย์สิน)
2. คลิกปุ่ม "+ แจ้งซ่อม" สีส้ม</t>
        </is>
      </c>
      <c r="H9" s="5" t="inlineStr">
        <is>
          <t>-</t>
        </is>
      </c>
      <c r="I9" s="5" t="inlineStr">
        <is>
          <t>เปิดฟอร์มแจ้งซ่อมได้ทันทีจากทุกหน้า โดยไม่สูญเสียข้อมูลหน้าปัจจุบัน</t>
        </is>
      </c>
      <c r="J9" s="10" t="inlineStr">
        <is>
          <t>High</t>
        </is>
      </c>
      <c r="K9" s="5" t="inlineStr">
        <is>
          <t>ผู้แจ้งซ่อม/ผู้ใช้งานทั่วไป (user)</t>
        </is>
      </c>
      <c r="L9" s="5" t="n"/>
      <c r="M9" s="10" t="inlineStr">
        <is>
          <t>ยังไม่ทดสอบ</t>
        </is>
      </c>
      <c r="N9" s="5" t="n"/>
      <c r="O9" s="18" t="n"/>
      <c r="P9" s="5" t="n"/>
      <c r="Q9" s="5" t="inlineStr">
        <is>
          <t>ทุกหน้าจอ (c916d36c เป็นหลัก)</t>
        </is>
      </c>
    </row>
    <row r="10" ht="33" customHeight="1">
      <c r="A10" s="10" t="inlineStr">
        <is>
          <t>UAT-GEN-009</t>
        </is>
      </c>
      <c r="B10" s="5" t="inlineStr">
        <is>
          <t>ส่วนกลาง (Shell / Navigation / ทั่วไป)</t>
        </is>
      </c>
      <c r="C10" s="5" t="inlineStr">
        <is>
          <t>Shell ทุกหน้าจอ</t>
        </is>
      </c>
      <c r="D10" s="5" t="inlineStr">
        <is>
          <t>กระดิ่งแจ้งเตือน</t>
        </is>
      </c>
      <c r="E10" s="10" t="inlineStr">
        <is>
          <t>Functional</t>
        </is>
      </c>
      <c r="F10" s="5" t="inlineStr">
        <is>
          <t>มีการแจ้งเตือนค้างอยู่</t>
        </is>
      </c>
      <c r="G10" s="5" t="inlineStr">
        <is>
          <t>1. คลิกไอคอนกระดิ่ง
2. อ่านรายการแจ้งเตือน</t>
        </is>
      </c>
      <c r="H10" s="5" t="inlineStr">
        <is>
          <t>-</t>
        </is>
      </c>
      <c r="I10" s="5" t="inlineStr">
        <is>
          <t>แสดงจำนวนและรายการแจ้งเตือนภาษาไทย (เช่น WO เกิน SLA, ไลเซนส์ใกล้หมด); เมื่อเปิดอ่านแล้ว badge ลดลง</t>
        </is>
      </c>
      <c r="J10" s="10" t="inlineStr">
        <is>
          <t>Medium</t>
        </is>
      </c>
      <c r="K10" s="5" t="inlineStr">
        <is>
          <t>ผู้ดูแลระบบสูงสุด (admin)</t>
        </is>
      </c>
      <c r="L10" s="5" t="n"/>
      <c r="M10" s="10" t="inlineStr">
        <is>
          <t>ยังไม่ทดสอบ</t>
        </is>
      </c>
      <c r="N10" s="5" t="n"/>
      <c r="O10" s="18" t="n"/>
      <c r="P10" s="5" t="n"/>
      <c r="Q10" s="5" t="inlineStr">
        <is>
          <t>ทุกหน้าจอ (c916d36c เป็นหลัก)</t>
        </is>
      </c>
    </row>
    <row r="11" ht="47.5" customHeight="1">
      <c r="A11" s="10" t="inlineStr">
        <is>
          <t>UAT-GEN-010</t>
        </is>
      </c>
      <c r="B11" s="5" t="inlineStr">
        <is>
          <t>ส่วนกลาง (Shell / Navigation / ทั่วไป)</t>
        </is>
      </c>
      <c r="C11" s="5" t="inlineStr">
        <is>
          <t>Shell ทุกหน้าจอ</t>
        </is>
      </c>
      <c r="D11" s="5" t="inlineStr">
        <is>
          <t>สลับธีมมืด/สว่าง</t>
        </is>
      </c>
      <c r="E11" s="10" t="inlineStr">
        <is>
          <t>UI</t>
        </is>
      </c>
      <c r="F11" s="5" t="inlineStr">
        <is>
          <t>เข้าสู่ระบบแล้ว</t>
        </is>
      </c>
      <c r="G11" s="5" t="inlineStr">
        <is>
          <t>1. คลิกปุ่มสลับธีม
2. ตรวจหน้าจอ
3. รีเฟรชหน้า</t>
        </is>
      </c>
      <c r="H11" s="5" t="inlineStr">
        <is>
          <t>-</t>
        </is>
      </c>
      <c r="I11" s="5" t="inlineStr">
        <is>
          <t>ธีมเปลี่ยนทั้งหน้า; ตัวอักษร/ไอคอน/กราฟอ่านได้ทั้งสองธีม; ธีมที่เลือกถูกจำหลังรีเฟรช</t>
        </is>
      </c>
      <c r="J11" s="10" t="inlineStr">
        <is>
          <t>Low</t>
        </is>
      </c>
      <c r="K11" s="5" t="inlineStr">
        <is>
          <t>ผู้ดูแลระบบสูงสุด (admin)</t>
        </is>
      </c>
      <c r="L11" s="5" t="n"/>
      <c r="M11" s="10" t="inlineStr">
        <is>
          <t>ยังไม่ทดสอบ</t>
        </is>
      </c>
      <c r="N11" s="5" t="n"/>
      <c r="O11" s="18" t="n"/>
      <c r="P11" s="5" t="n"/>
      <c r="Q11" s="5" t="inlineStr">
        <is>
          <t>ทุกหน้าจอ (c916d36c เป็นหลัก)</t>
        </is>
      </c>
    </row>
    <row r="12" ht="47.5" customHeight="1">
      <c r="A12" s="10" t="inlineStr">
        <is>
          <t>UAT-GEN-011</t>
        </is>
      </c>
      <c r="B12" s="5" t="inlineStr">
        <is>
          <t>ส่วนกลาง (Shell / Navigation / ทั่วไป)</t>
        </is>
      </c>
      <c r="C12" s="5" t="inlineStr">
        <is>
          <t>Shell ทุกหน้าจอ</t>
        </is>
      </c>
      <c r="D12" s="5" t="inlineStr">
        <is>
          <t>Breadcrumb ใต้แถบบน</t>
        </is>
      </c>
      <c r="E12" s="10" t="inlineStr">
        <is>
          <t>UI</t>
        </is>
      </c>
      <c r="F12" s="5" t="inlineStr">
        <is>
          <t>เข้าสู่ระบบแล้ว</t>
        </is>
      </c>
      <c r="G12" s="5" t="inlineStr">
        <is>
          <t>1. เปิดหน้า ต้นทุน &amp; งบประมาณ
2. ตรวจ breadcrumb
3. คลิก "หน้าแรก" ใน breadcrumb</t>
        </is>
      </c>
      <c r="H12" s="5" t="inlineStr">
        <is>
          <t>-</t>
        </is>
      </c>
      <c r="I12" s="5" t="inlineStr">
        <is>
          <t>Breadcrumb ตรงกับกลุ่มเมนู (หน้าแรก / คลัง &amp; จัดซื้อ / ต้นทุน &amp; งบประมาณ); คลิกแล้วนำทางถูกต้อง</t>
        </is>
      </c>
      <c r="J12" s="10" t="inlineStr">
        <is>
          <t>Low</t>
        </is>
      </c>
      <c r="K12" s="5" t="inlineStr">
        <is>
          <t>ผู้ดูแลระบบสูงสุด (admin)</t>
        </is>
      </c>
      <c r="L12" s="5" t="n"/>
      <c r="M12" s="10" t="inlineStr">
        <is>
          <t>ยังไม่ทดสอบ</t>
        </is>
      </c>
      <c r="N12" s="5" t="n"/>
      <c r="O12" s="18" t="n"/>
      <c r="P12" s="5" t="inlineStr">
        <is>
          <t>ระบบเดิมแสดง breadcrumb งบประมาณใต้ "วิเคราะห์" ไม่ตรงเมนู — ตรวจว่าแก้แล้ว</t>
        </is>
      </c>
      <c r="Q12" s="5" t="inlineStr">
        <is>
          <t>ทุกหน้าจอ (c916d36c เป็นหลัก)</t>
        </is>
      </c>
    </row>
    <row r="13" ht="33" customHeight="1">
      <c r="A13" s="10" t="inlineStr">
        <is>
          <t>UAT-GEN-012</t>
        </is>
      </c>
      <c r="B13" s="5" t="inlineStr">
        <is>
          <t>ส่วนกลาง (Shell / Navigation / ทั่วไป)</t>
        </is>
      </c>
      <c r="C13" s="5" t="inlineStr">
        <is>
          <t>Shell ทุกหน้าจอ</t>
        </is>
      </c>
      <c r="D13" s="5" t="inlineStr">
        <is>
          <t>รูปแบบวันที่พุทธศักราช (พ.ศ.)</t>
        </is>
      </c>
      <c r="E13" s="10" t="inlineStr">
        <is>
          <t>UI</t>
        </is>
      </c>
      <c r="F13" s="5" t="inlineStr">
        <is>
          <t>เข้าสู่ระบบแล้ว</t>
        </is>
      </c>
      <c r="G13" s="5" t="inlineStr">
        <is>
          <t>1. เปิดหน้าที่มีวันที่ (WO, ปฏิทิน, ค่าเสื่อม, ตรวจนับ)
2. ตรวจรูปแบบวันที่ในตาราง/ฟอร์ม/date picker</t>
        </is>
      </c>
      <c r="H13" s="5" t="inlineStr">
        <is>
          <t>-</t>
        </is>
      </c>
      <c r="I13" s="5" t="inlineStr">
        <is>
          <t>วันที่แสดงเป็น พ.ศ. รูปแบบไทย เช่น "1 ต.ค. 2569"; date picker แสดงปี 2569; ข้อมูลที่บันทึก/ส่งออก API ใช้ ค.ศ. ISO</t>
        </is>
      </c>
      <c r="J13" s="10" t="inlineStr">
        <is>
          <t>High</t>
        </is>
      </c>
      <c r="K13" s="5" t="inlineStr">
        <is>
          <t>ผู้ดูแลระบบสูงสุด (admin)</t>
        </is>
      </c>
      <c r="L13" s="5" t="n"/>
      <c r="M13" s="10" t="inlineStr">
        <is>
          <t>ยังไม่ทดสอบ</t>
        </is>
      </c>
      <c r="N13" s="5" t="n"/>
      <c r="O13" s="18" t="n"/>
      <c r="P13" s="5" t="n"/>
      <c r="Q13" s="5" t="inlineStr">
        <is>
          <t>ทุกหน้าจอ (c916d36c เป็นหลัก)</t>
        </is>
      </c>
    </row>
    <row r="14" ht="33" customHeight="1">
      <c r="A14" s="10" t="inlineStr">
        <is>
          <t>UAT-GEN-013</t>
        </is>
      </c>
      <c r="B14" s="5" t="inlineStr">
        <is>
          <t>ส่วนกลาง (Shell / Navigation / ทั่วไป)</t>
        </is>
      </c>
      <c r="C14" s="5" t="inlineStr">
        <is>
          <t>Shell ทุกหน้าจอ</t>
        </is>
      </c>
      <c r="D14" s="5" t="inlineStr">
        <is>
          <t>รูปแบบจำนวนเงินบาท</t>
        </is>
      </c>
      <c r="E14" s="10" t="inlineStr">
        <is>
          <t>UI</t>
        </is>
      </c>
      <c r="F14" s="5" t="inlineStr">
        <is>
          <t>เข้าสู่ระบบแล้ว</t>
        </is>
      </c>
      <c r="G14" s="5" t="inlineStr">
        <is>
          <t>1. เปิดหน้า ทะเบียนทรัพย์สิน, PR/PO, งบประมาณ
2. ตรวจรูปแบบตัวเลข</t>
        </is>
      </c>
      <c r="H14" s="5" t="inlineStr">
        <is>
          <t>-</t>
        </is>
      </c>
      <c r="I14" s="5" t="inlineStr">
        <is>
          <t>ตัวเลขเงินมีคั่นหลักพัน ทศนิยม 2 ตำแหน่งในตาราง; KPI ย่อแบบไทย (ลบ., พัน) สอดคล้องกันทุกหน้า</t>
        </is>
      </c>
      <c r="J14" s="10" t="inlineStr">
        <is>
          <t>Medium</t>
        </is>
      </c>
      <c r="K14" s="5" t="inlineStr">
        <is>
          <t>ผู้ดูแลระบบสูงสุด (admin)</t>
        </is>
      </c>
      <c r="L14" s="5" t="n"/>
      <c r="M14" s="10" t="inlineStr">
        <is>
          <t>ยังไม่ทดสอบ</t>
        </is>
      </c>
      <c r="N14" s="5" t="n"/>
      <c r="O14" s="18" t="n"/>
      <c r="P14" s="5" t="n"/>
      <c r="Q14" s="5" t="inlineStr">
        <is>
          <t>ทุกหน้าจอ (c916d36c เป็นหลัก)</t>
        </is>
      </c>
    </row>
    <row r="15" ht="33" customHeight="1">
      <c r="A15" s="10" t="inlineStr">
        <is>
          <t>UAT-GEN-014</t>
        </is>
      </c>
      <c r="B15" s="5" t="inlineStr">
        <is>
          <t>ส่วนกลาง (Shell / Navigation / ทั่วไป)</t>
        </is>
      </c>
      <c r="C15" s="5" t="inlineStr">
        <is>
          <t>Shell ทุกหน้าจอ</t>
        </is>
      </c>
      <c r="D15" s="5" t="inlineStr">
        <is>
          <t>การ์ด "Customize Field — เพิ่มฟิลด์เองได้" ที่ท้ายเมนู</t>
        </is>
      </c>
      <c r="E15" s="10" t="inlineStr">
        <is>
          <t>Functional</t>
        </is>
      </c>
      <c r="F15" s="5" t="inlineStr">
        <is>
          <t>เข้าสู่ระบบแล้ว</t>
        </is>
      </c>
      <c r="G15" s="5" t="inlineStr">
        <is>
          <t>1. คลิกการ์ด Customize Field ที่ท้าย sidebar</t>
        </is>
      </c>
      <c r="H15" s="5" t="inlineStr">
        <is>
          <t>-</t>
        </is>
      </c>
      <c r="I15" s="5" t="inlineStr">
        <is>
          <t>นำไปยังหน้า ข้อมูลหลัก &gt; ฟิลด์เพิ่มเติมตามหมวด (Custom Field Builder)</t>
        </is>
      </c>
      <c r="J15" s="10" t="inlineStr">
        <is>
          <t>Low</t>
        </is>
      </c>
      <c r="K15" s="5" t="inlineStr">
        <is>
          <t>ผู้ดูแลระบบสูงสุด (admin)</t>
        </is>
      </c>
      <c r="L15" s="5" t="n"/>
      <c r="M15" s="10" t="inlineStr">
        <is>
          <t>ยังไม่ทดสอบ</t>
        </is>
      </c>
      <c r="N15" s="5" t="n"/>
      <c r="O15" s="18" t="n"/>
      <c r="P15" s="5" t="n"/>
      <c r="Q15" s="5" t="inlineStr">
        <is>
          <t>ทุกหน้าจอ (c916d36c เป็นหลัก)</t>
        </is>
      </c>
    </row>
    <row r="16" ht="33" customHeight="1">
      <c r="A16" s="10" t="inlineStr">
        <is>
          <t>UAT-GEN-015</t>
        </is>
      </c>
      <c r="B16" s="5" t="inlineStr">
        <is>
          <t>ส่วนกลาง (Shell / Navigation / ทั่วไป)</t>
        </is>
      </c>
      <c r="C16" s="5" t="inlineStr">
        <is>
          <t>Shell ทุกหน้าจอ</t>
        </is>
      </c>
      <c r="D16" s="5" t="inlineStr">
        <is>
          <t>Pagination มาตรฐานของหน้ารายการ</t>
        </is>
      </c>
      <c r="E16" s="10" t="inlineStr">
        <is>
          <t>UI</t>
        </is>
      </c>
      <c r="F16" s="5" t="inlineStr">
        <is>
          <t>หน้ารายการมีข้อมูลมากกว่า 1 หน้า</t>
        </is>
      </c>
      <c r="G16" s="5" t="inlineStr">
        <is>
          <t>1. เปิดหน้ารายการ เช่น Audit Log/ทะเบียนทรัพย์สิน
2. คลิกหน้าถัดไป/ก่อนหน้า</t>
        </is>
      </c>
      <c r="H16" s="5" t="inlineStr">
        <is>
          <t>-</t>
        </is>
      </c>
      <c r="I16" s="5" t="inlineStr">
        <is>
          <t>แสดงข้อความ "แสดง 1–N จาก N รายการ"; ปุ่มก่อนหน้าปิดใช้งานที่หน้าแรก; เปลี่ยนหน้าได้ถูกต้อง</t>
        </is>
      </c>
      <c r="J16" s="10" t="inlineStr">
        <is>
          <t>Low</t>
        </is>
      </c>
      <c r="K16" s="5" t="inlineStr">
        <is>
          <t>ผู้ดูแลระบบสูงสุด (admin)</t>
        </is>
      </c>
      <c r="L16" s="5" t="n"/>
      <c r="M16" s="10" t="inlineStr">
        <is>
          <t>ยังไม่ทดสอบ</t>
        </is>
      </c>
      <c r="N16" s="5" t="n"/>
      <c r="O16" s="18" t="n"/>
      <c r="P16" s="5" t="n"/>
      <c r="Q16" s="5" t="inlineStr">
        <is>
          <t>ทุกหน้าจอ (c916d36c เป็นหลัก)</t>
        </is>
      </c>
    </row>
    <row r="17" ht="33" customHeight="1">
      <c r="A17" s="10" t="inlineStr">
        <is>
          <t>UAT-GEN-016</t>
        </is>
      </c>
      <c r="B17" s="5" t="inlineStr">
        <is>
          <t>ส่วนกลาง (Shell / Navigation / ทั่วไป)</t>
        </is>
      </c>
      <c r="C17" s="5" t="inlineStr">
        <is>
          <t>Shell ทุกหน้าจอ</t>
        </is>
      </c>
      <c r="D17" s="5" t="inlineStr">
        <is>
          <t>เข้าถึงหน้าที่ไม่มีสิทธิ์ผ่าน URL ตรง</t>
        </is>
      </c>
      <c r="E17" s="10" t="inlineStr">
        <is>
          <t>Permission</t>
        </is>
      </c>
      <c r="F17" s="5" t="inlineStr">
        <is>
          <t>ล็อกอินเป็น user (ผู้แจ้งซ่อม)</t>
        </is>
      </c>
      <c r="G17" s="5" t="inlineStr">
        <is>
          <t>1. พิมพ์ URL หน้า ตั้งค่าระบบ หรือ บทบาท &amp; สิทธิ์ โดยตรง</t>
        </is>
      </c>
      <c r="H17" s="5" t="inlineStr">
        <is>
          <t>-</t>
        </is>
      </c>
      <c r="I17" s="5" t="inlineStr">
        <is>
          <t>ระบบปฏิเสธการเข้าถึง (403/ข้อความไม่มีสิทธิ์) และไม่แสดงเมนูที่ไม่มีสิทธิ์ใน sidebar</t>
        </is>
      </c>
      <c r="J17" s="10" t="inlineStr">
        <is>
          <t>High</t>
        </is>
      </c>
      <c r="K17" s="5" t="inlineStr">
        <is>
          <t>ผู้แจ้งซ่อม/ผู้ใช้งานทั่วไป (user)</t>
        </is>
      </c>
      <c r="L17" s="5" t="n"/>
      <c r="M17" s="10" t="inlineStr">
        <is>
          <t>ยังไม่ทดสอบ</t>
        </is>
      </c>
      <c r="N17" s="5" t="n"/>
      <c r="O17" s="18" t="n"/>
      <c r="P17" s="5" t="n"/>
      <c r="Q17" s="5" t="inlineStr">
        <is>
          <t>ทุกหน้าจอ (c916d36c เป็นหลัก)</t>
        </is>
      </c>
    </row>
    <row r="18" ht="47.5" customHeight="1">
      <c r="A18" s="10" t="inlineStr">
        <is>
          <t>UAT-GEN-017</t>
        </is>
      </c>
      <c r="B18" s="5" t="inlineStr">
        <is>
          <t>ส่วนกลาง (Shell / Navigation / ทั่วไป)</t>
        </is>
      </c>
      <c r="C18" s="5" t="inlineStr">
        <is>
          <t>Shell ทุกหน้าจอ</t>
        </is>
      </c>
      <c r="D18" s="5" t="inlineStr">
        <is>
          <t>ออกจากระบบ</t>
        </is>
      </c>
      <c r="E18" s="10" t="inlineStr">
        <is>
          <t>Functional</t>
        </is>
      </c>
      <c r="F18" s="5" t="inlineStr">
        <is>
          <t>เข้าสู่ระบบแล้ว</t>
        </is>
      </c>
      <c r="G18" s="5" t="inlineStr">
        <is>
          <t>1. คลิก avatar มุมขวาบน
2. เลือกออกจากระบบ
3. กดปุ่ม Back ของเบราว์เซอร์</t>
        </is>
      </c>
      <c r="H18" s="5" t="inlineStr">
        <is>
          <t>-</t>
        </is>
      </c>
      <c r="I18" s="5" t="inlineStr">
        <is>
          <t>กลับไปหน้า Login; กด Back ไม่สามารถเข้าหน้าเดิมได้; Audit Log บันทึก logout</t>
        </is>
      </c>
      <c r="J18" s="10" t="inlineStr">
        <is>
          <t>Medium</t>
        </is>
      </c>
      <c r="K18" s="5" t="inlineStr">
        <is>
          <t>ผู้ดูแลระบบสูงสุด (admin)</t>
        </is>
      </c>
      <c r="L18" s="5" t="n"/>
      <c r="M18" s="10" t="inlineStr">
        <is>
          <t>ยังไม่ทดสอบ</t>
        </is>
      </c>
      <c r="N18" s="5" t="n"/>
      <c r="O18" s="18" t="n"/>
      <c r="P18" s="5" t="n"/>
      <c r="Q18" s="5" t="inlineStr">
        <is>
          <t>ทุกหน้าจอ (c916d36c เป็นหลัก)</t>
        </is>
      </c>
    </row>
    <row r="19" ht="33" customHeight="1">
      <c r="A19" s="10" t="inlineStr">
        <is>
          <t>UAT-GEN-018</t>
        </is>
      </c>
      <c r="B19" s="5" t="inlineStr">
        <is>
          <t>ส่วนกลาง (Shell / Navigation / ทั่วไป)</t>
        </is>
      </c>
      <c r="C19" s="5" t="inlineStr">
        <is>
          <t>Shell ทุกหน้าจอ</t>
        </is>
      </c>
      <c r="D19" s="5" t="inlineStr">
        <is>
          <t>Toast แจ้งผลการทำงาน</t>
        </is>
      </c>
      <c r="E19" s="10" t="inlineStr">
        <is>
          <t>UI</t>
        </is>
      </c>
      <c r="F19" s="5" t="inlineStr">
        <is>
          <t>เข้าสู่ระบบแล้ว</t>
        </is>
      </c>
      <c r="G19" s="5" t="inlineStr">
        <is>
          <t>1. บันทึกฟอร์มใดก็ได้สำเร็จ
2. สังเกต toast</t>
        </is>
      </c>
      <c r="H19" s="5" t="inlineStr">
        <is>
          <t>-</t>
        </is>
      </c>
      <c r="I19" s="5" t="inlineStr">
        <is>
          <t>Toast ภาษาไทยแสดงมุมจอ อ่านได้ชัดบนธีมมืด หายไปเองภายในไม่กี่วินาที และไม่บังปุ่มสำคัญ</t>
        </is>
      </c>
      <c r="J19" s="10" t="inlineStr">
        <is>
          <t>Low</t>
        </is>
      </c>
      <c r="K19" s="5" t="inlineStr">
        <is>
          <t>ผู้ดูแลระบบสูงสุด (admin)</t>
        </is>
      </c>
      <c r="L19" s="5" t="n"/>
      <c r="M19" s="10" t="inlineStr">
        <is>
          <t>ยังไม่ทดสอบ</t>
        </is>
      </c>
      <c r="N19" s="5" t="n"/>
      <c r="O19" s="18" t="n"/>
      <c r="P19" s="5" t="n"/>
      <c r="Q19" s="5" t="inlineStr">
        <is>
          <t>ทุกหน้าจอ (c916d36c เป็นหลัก)</t>
        </is>
      </c>
    </row>
    <row r="20" ht="33" customHeight="1">
      <c r="A20" s="10" t="inlineStr">
        <is>
          <t>UAT-GEN-019</t>
        </is>
      </c>
      <c r="B20" s="5" t="inlineStr">
        <is>
          <t>ส่วนกลาง (Shell / Navigation / ทั่วไป)</t>
        </is>
      </c>
      <c r="C20" s="5" t="inlineStr">
        <is>
          <t>Shell ทุกหน้าจอ</t>
        </is>
      </c>
      <c r="D20" s="5" t="inlineStr">
        <is>
          <t>ติดตั้งเป็นแอป (PWA)</t>
        </is>
      </c>
      <c r="E20" s="10" t="inlineStr">
        <is>
          <t>Functional</t>
        </is>
      </c>
      <c r="F20" s="5" t="inlineStr">
        <is>
          <t>ใช้ Chrome/Edge บนมือถือหรือ Desktop</t>
        </is>
      </c>
      <c r="G20" s="5" t="inlineStr">
        <is>
          <t>1. คลิก "ติดตั้งแอป" ที่ท้ายเมนู
2. เปิดแอปจากไอคอนที่ติดตั้ง</t>
        </is>
      </c>
      <c r="H20" s="5" t="inlineStr">
        <is>
          <t>-</t>
        </is>
      </c>
      <c r="I20" s="5" t="inlineStr">
        <is>
          <t>ติดตั้งได้และเปิดแบบ standalone; ล็อกอินและเมนูทำงานปกติ</t>
        </is>
      </c>
      <c r="J20" s="10" t="inlineStr">
        <is>
          <t>Low</t>
        </is>
      </c>
      <c r="K20" s="5" t="inlineStr">
        <is>
          <t>ผู้ดูแลระบบสูงสุด (admin)</t>
        </is>
      </c>
      <c r="L20" s="5" t="n"/>
      <c r="M20" s="10" t="inlineStr">
        <is>
          <t>ยังไม่ทดสอบ</t>
        </is>
      </c>
      <c r="N20" s="5" t="n"/>
      <c r="O20" s="18" t="n"/>
      <c r="P20" s="5" t="inlineStr">
        <is>
          <t>ฟีเจอร์จากระบบเดิม ยังไม่มีใน mockup</t>
        </is>
      </c>
      <c r="Q20" s="5" t="inlineStr">
        <is>
          <t>ทุกหน้าจอ (c916d36c เป็นหลัก)</t>
        </is>
      </c>
    </row>
    <row r="21" ht="47.5" customHeight="1">
      <c r="A21" s="10" t="inlineStr">
        <is>
          <t>UAT-GEN-020</t>
        </is>
      </c>
      <c r="B21" s="5" t="inlineStr">
        <is>
          <t>ส่วนกลาง (Shell / Navigation / ทั่วไป)</t>
        </is>
      </c>
      <c r="C21" s="5" t="inlineStr">
        <is>
          <t>Shell ทุกหน้าจอ</t>
        </is>
      </c>
      <c r="D21" s="5" t="inlineStr">
        <is>
          <t>ค้นหาไม่พบข้อมูล (Shell ทุกหน้าจอ)</t>
        </is>
      </c>
      <c r="E21" s="10" t="inlineStr">
        <is>
          <t>Negative</t>
        </is>
      </c>
      <c r="F21" s="5" t="inlineStr">
        <is>
          <t>เข้าสู่ระบบแล้ว และอยู่ที่หน้าShell ทุกหน้าจอ</t>
        </is>
      </c>
      <c r="G21" s="5" t="inlineStr">
        <is>
          <t>1. พิมพ์คำค้นที่ไม่มีอยู่จริงในช่อง "ค้นหา Asset Tag, S/N, WO, ไลเซนส์…"
2. สังเกตตาราง/รายการ</t>
        </is>
      </c>
      <c r="H21" s="5" t="inlineStr">
        <is>
          <t>คำค้น: ZZZ-NOTFOUND-999</t>
        </is>
      </c>
      <c r="I2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1" s="10" t="inlineStr">
        <is>
          <t>Low</t>
        </is>
      </c>
      <c r="K21" s="5" t="inlineStr">
        <is>
          <t>ผู้ดูแลระบบสูงสุด (admin)</t>
        </is>
      </c>
      <c r="L21" s="5" t="n"/>
      <c r="M21" s="10" t="inlineStr">
        <is>
          <t>ยังไม่ทดสอบ</t>
        </is>
      </c>
      <c r="N21" s="5" t="n"/>
      <c r="O21" s="18" t="n"/>
      <c r="P21" s="5" t="n"/>
      <c r="Q21" s="5" t="inlineStr">
        <is>
          <t>ทุกหน้าจอ (c916d36c เป็นหลัก)</t>
        </is>
      </c>
    </row>
    <row r="22" ht="47.5" customHeight="1">
      <c r="A22" s="10" t="inlineStr">
        <is>
          <t>UAT-GEN-021</t>
        </is>
      </c>
      <c r="B22" s="5" t="inlineStr">
        <is>
          <t>ส่วนกลาง (Shell / Navigation / ทั่วไป)</t>
        </is>
      </c>
      <c r="C22" s="5" t="inlineStr">
        <is>
          <t>Shell ทุกหน้าจอ</t>
        </is>
      </c>
      <c r="D22" s="5" t="inlineStr">
        <is>
          <t>ค้นหาด้วยคำค้นที่มีอยู่จริง (Shell ทุกหน้าจอ)</t>
        </is>
      </c>
      <c r="E22" s="10" t="inlineStr">
        <is>
          <t>Functional</t>
        </is>
      </c>
      <c r="F22" s="5" t="inlineStr">
        <is>
          <t>เข้าสู่ระบบแล้ว และอยู่ที่หน้าShell ทุกหน้าจอ</t>
        </is>
      </c>
      <c r="G22" s="5" t="inlineStr">
        <is>
          <t>1. พิมพ์คำค้นในช่อง "ค้นหา Asset Tag, S/N, WO, ไลเซนส์…"
2. ตรวจรายการที่แสดง
3. ล้างคำค้น</t>
        </is>
      </c>
      <c r="H22" s="5" t="inlineStr">
        <is>
          <t>คำค้น: MTR-007</t>
        </is>
      </c>
      <c r="I22" s="5" t="inlineStr">
        <is>
          <t>แสดงเฉพาะรายการที่ตรงกับคำค้น (ผลการค้นหาทรัพย์สิน MTR-007); เมื่อล้างคำค้นรายการกลับมาครบ</t>
        </is>
      </c>
      <c r="J22" s="10" t="inlineStr">
        <is>
          <t>Medium</t>
        </is>
      </c>
      <c r="K22" s="5" t="inlineStr">
        <is>
          <t>ผู้ดูแลระบบสูงสุด (admin)</t>
        </is>
      </c>
      <c r="L22" s="5" t="n"/>
      <c r="M22" s="10" t="inlineStr">
        <is>
          <t>ยังไม่ทดสอบ</t>
        </is>
      </c>
      <c r="N22" s="5" t="n"/>
      <c r="O22" s="18" t="n"/>
      <c r="P22" s="5" t="n"/>
      <c r="Q22" s="5" t="inlineStr">
        <is>
          <t>ทุกหน้าจอ (c916d36c เป็นหลัก)</t>
        </is>
      </c>
    </row>
    <row r="23" ht="62" customHeight="1">
      <c r="A23" s="10" t="inlineStr">
        <is>
          <t>UAT-GEN-022</t>
        </is>
      </c>
      <c r="B23" s="5" t="inlineStr">
        <is>
          <t>ส่วนกลาง (Shell / Navigation / ทั่วไป)</t>
        </is>
      </c>
      <c r="C23" s="5" t="inlineStr">
        <is>
          <t>Shell ทุกหน้าจอ</t>
        </is>
      </c>
      <c r="D23" s="5" t="inlineStr">
        <is>
          <t>แสดงผลบนมือถือ 375px (Shell ทุกหน้าจอ)</t>
        </is>
      </c>
      <c r="E23" s="10" t="inlineStr">
        <is>
          <t>Responsive</t>
        </is>
      </c>
      <c r="F23" s="5" t="inlineStr">
        <is>
          <t>เข้าสู่ระบบแล้ว; เปิด DevTools โหมดอุปกรณ์ iPhone SE/375×667</t>
        </is>
      </c>
      <c r="G2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3" s="5" t="inlineStr">
        <is>
          <t>ความกว้าง 375px</t>
        </is>
      </c>
      <c r="I2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23" s="10" t="inlineStr">
        <is>
          <t>Medium</t>
        </is>
      </c>
      <c r="K23" s="5" t="inlineStr">
        <is>
          <t>ผู้ดูแลระบบสูงสุด (admin)</t>
        </is>
      </c>
      <c r="L23" s="5" t="n"/>
      <c r="M23" s="10" t="inlineStr">
        <is>
          <t>ยังไม่ทดสอบ</t>
        </is>
      </c>
      <c r="N23" s="5" t="n"/>
      <c r="O23" s="18" t="n"/>
      <c r="P23" s="5" t="n"/>
      <c r="Q23" s="5" t="inlineStr">
        <is>
          <t>ทุกหน้าจอ (c916d36c เป็นหลัก)</t>
        </is>
      </c>
    </row>
    <row r="24" ht="62" customHeight="1">
      <c r="A24" s="10" t="inlineStr">
        <is>
          <t>UAT-GEN-023</t>
        </is>
      </c>
      <c r="B24" s="5" t="inlineStr">
        <is>
          <t>ส่วนกลาง (Shell / Navigation / ทั่วไป)</t>
        </is>
      </c>
      <c r="C24" s="5" t="inlineStr">
        <is>
          <t>Shell ทุกหน้าจอ</t>
        </is>
      </c>
      <c r="D24" s="5" t="inlineStr">
        <is>
          <t>แสดงผลบน Desktop 1920px และความอ่านง่ายธีมมืด (Shell ทุกหน้าจอ)</t>
        </is>
      </c>
      <c r="E24" s="10" t="inlineStr">
        <is>
          <t>UI</t>
        </is>
      </c>
      <c r="F24" s="5" t="inlineStr">
        <is>
          <t>เข้าสู่ระบบแล้ว; หน้าจอ 1920×1080</t>
        </is>
      </c>
      <c r="G2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4" s="5" t="inlineStr">
        <is>
          <t>ความกว้าง 1920px</t>
        </is>
      </c>
      <c r="I2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4" s="10" t="inlineStr">
        <is>
          <t>Low</t>
        </is>
      </c>
      <c r="K24" s="5" t="inlineStr">
        <is>
          <t>ผู้ดูแลระบบสูงสุด (admin)</t>
        </is>
      </c>
      <c r="L24" s="5" t="n"/>
      <c r="M24" s="10" t="inlineStr">
        <is>
          <t>ยังไม่ทดสอบ</t>
        </is>
      </c>
      <c r="N24" s="5" t="n"/>
      <c r="O24" s="18" t="n"/>
      <c r="P24" s="5" t="n"/>
      <c r="Q24" s="5" t="inlineStr">
        <is>
          <t>ทุกหน้าจอ (c916d36c เป็นหลัก)</t>
        </is>
      </c>
    </row>
    <row r="25" ht="62" customHeight="1">
      <c r="A25" s="10" t="inlineStr">
        <is>
          <t>UAT-DSH-001</t>
        </is>
      </c>
      <c r="B25" s="5" t="inlineStr">
        <is>
          <t>Command Center (แดชบอร์ด)</t>
        </is>
      </c>
      <c r="C25" s="5" t="inlineStr">
        <is>
          <t>Command Center</t>
        </is>
      </c>
      <c r="D25" s="5" t="inlineStr">
        <is>
          <t>แสดง KPI การ์ดหลักพร้อม count-up</t>
        </is>
      </c>
      <c r="E25" s="10" t="inlineStr">
        <is>
          <t>UI</t>
        </is>
      </c>
      <c r="F25" s="5" t="inlineStr">
        <is>
          <t>เข้าสู่ระบบแล้ว</t>
        </is>
      </c>
      <c r="G25" s="5" t="inlineStr">
        <is>
          <t>1. เปิดหน้า Command Center
2. สังเกตการนับตัวเลข KPI</t>
        </is>
      </c>
      <c r="H25" s="5" t="inlineStr">
        <is>
          <t>-</t>
        </is>
      </c>
      <c r="I25" s="5" t="inlineStr">
        <is>
          <t>แสดง KPI: ทรัพย์สินทั้งหมด 32 (หยุด/ซ่อม 3), ราคาทุนรวม 24.84 ลบ., NBV 12.99 ลบ., WO ค้าง 18 (เกิน SLA 9), PM Compliance 30% (เป้า ≥90%), MTTR 3.0 ชม., ไลเซนส์ใกล้หมด, อะไหล่ต่ำกว่า ROP; ตัวเลข count-up แล้วหยุดที่ค่าถูกต้อง</t>
        </is>
      </c>
      <c r="J25" s="10" t="inlineStr">
        <is>
          <t>Medium</t>
        </is>
      </c>
      <c r="K25" s="5" t="inlineStr">
        <is>
          <t>ผู้บริหาร (exec)</t>
        </is>
      </c>
      <c r="L25" s="5" t="n"/>
      <c r="M25" s="10" t="inlineStr">
        <is>
          <t>ยังไม่ทดสอบ</t>
        </is>
      </c>
      <c r="N25" s="5" t="n"/>
      <c r="O25" s="18" t="n"/>
      <c r="P25" s="5" t="n"/>
      <c r="Q25" s="5" t="inlineStr">
        <is>
          <t>c916d36c</t>
        </is>
      </c>
    </row>
    <row r="26" ht="47.5" customHeight="1">
      <c r="A26" s="10" t="inlineStr">
        <is>
          <t>UAT-DSH-002</t>
        </is>
      </c>
      <c r="B26" s="5" t="inlineStr">
        <is>
          <t>Command Center (แดชบอร์ด)</t>
        </is>
      </c>
      <c r="C26" s="5" t="inlineStr">
        <is>
          <t>Command Center</t>
        </is>
      </c>
      <c r="D26" s="5" t="inlineStr">
        <is>
          <t>แถบ "ต้องดำเนินการ" นำทางไปยังรายการ</t>
        </is>
      </c>
      <c r="E26" s="10" t="inlineStr">
        <is>
          <t>Functional</t>
        </is>
      </c>
      <c r="F26" s="5" t="inlineStr">
        <is>
          <t>เข้าสู่ระบบแล้ว</t>
        </is>
      </c>
      <c r="G26" s="5" t="inlineStr">
        <is>
          <t>1. คลิกการ์ด "WO เกิน SLA"
2. กลับมาแล้วคลิก "อะไหล่ต่ำกว่าจุดสั่งซื้อ"
3. คลิก "ไลเซนส์หมดใน 30 วัน"</t>
        </is>
      </c>
      <c r="H26" s="5" t="inlineStr">
        <is>
          <t>-</t>
        </is>
      </c>
      <c r="I26" s="5" t="inlineStr">
        <is>
          <t>แต่ละการ์ดนำไปยังหน้ารายการที่กรองไว้ตรงเงื่อนไข (WO เกิน SLA, อะไหล่ต่ำกว่า ROP, ไลเซนส์ใกล้หมด)</t>
        </is>
      </c>
      <c r="J26" s="10" t="inlineStr">
        <is>
          <t>High</t>
        </is>
      </c>
      <c r="K26" s="5" t="inlineStr">
        <is>
          <t>ผู้จัดการซ่อมบำรุง (maint.mgr)</t>
        </is>
      </c>
      <c r="L26" s="5" t="n"/>
      <c r="M26" s="10" t="inlineStr">
        <is>
          <t>ยังไม่ทดสอบ</t>
        </is>
      </c>
      <c r="N26" s="5" t="n"/>
      <c r="O26" s="18" t="n"/>
      <c r="P26" s="5" t="n"/>
      <c r="Q26" s="5" t="inlineStr">
        <is>
          <t>c916d36c</t>
        </is>
      </c>
    </row>
    <row r="27" ht="33" customHeight="1">
      <c r="A27" s="10" t="inlineStr">
        <is>
          <t>UAT-DSH-003</t>
        </is>
      </c>
      <c r="B27" s="5" t="inlineStr">
        <is>
          <t>Command Center (แดชบอร์ด)</t>
        </is>
      </c>
      <c r="C27" s="5" t="inlineStr">
        <is>
          <t>Command Center</t>
        </is>
      </c>
      <c r="D27" s="5" t="inlineStr">
        <is>
          <t>กราฟโดนัทสถานะใบสั่งงาน — legend ไม่ถูกตัด</t>
        </is>
      </c>
      <c r="E27" s="10" t="inlineStr">
        <is>
          <t>UI</t>
        </is>
      </c>
      <c r="F27" s="5" t="inlineStr">
        <is>
          <t>เข้าสู่ระบบแล้ว</t>
        </is>
      </c>
      <c r="G27" s="5" t="inlineStr">
        <is>
          <t>1. ตรวจกราฟ "สถานะใบสั่งงานที่เปิดอยู่"
2. ตรวจ legend ทุกรายการที่ 1366px, 1920px และ 375px</t>
        </is>
      </c>
      <c r="H27" s="5" t="inlineStr">
        <is>
          <t>-</t>
        </is>
      </c>
      <c r="I27" s="5" t="inlineStr">
        <is>
          <t>Legend แสดงครบ (อนุมัติแล้ว, มอบหมายแล้ว, กำลังซ่อม, รออะไหล่/ผู้ขาย, ซ่อมเสร็จ) พร้อมจำนวน/% ข้อความไม่ถูกตัด ไม่ล้นการ์ด</t>
        </is>
      </c>
      <c r="J27" s="10" t="inlineStr">
        <is>
          <t>High</t>
        </is>
      </c>
      <c r="K27" s="5" t="inlineStr">
        <is>
          <t>ผู้ดูแลระบบสูงสุด (admin)</t>
        </is>
      </c>
      <c r="L27" s="5" t="n"/>
      <c r="M27" s="10" t="inlineStr">
        <is>
          <t>ยังไม่ทดสอบ</t>
        </is>
      </c>
      <c r="N27" s="5" t="n"/>
      <c r="O27" s="18" t="n"/>
      <c r="P27" s="5" t="n"/>
      <c r="Q27" s="5" t="inlineStr">
        <is>
          <t>c916d36c</t>
        </is>
      </c>
    </row>
    <row r="28" ht="47.5" customHeight="1">
      <c r="A28" s="10" t="inlineStr">
        <is>
          <t>UAT-DSH-004</t>
        </is>
      </c>
      <c r="B28" s="5" t="inlineStr">
        <is>
          <t>Command Center (แดชบอร์ด)</t>
        </is>
      </c>
      <c r="C28" s="5" t="inlineStr">
        <is>
          <t>Command Center</t>
        </is>
      </c>
      <c r="D28" s="5" t="inlineStr">
        <is>
          <t>ตาราง "งานเฝ้าระวัง SLA"</t>
        </is>
      </c>
      <c r="E28" s="10" t="inlineStr">
        <is>
          <t>Functional</t>
        </is>
      </c>
      <c r="F28" s="5" t="inlineStr">
        <is>
          <t>มี WO เกิน SLA</t>
        </is>
      </c>
      <c r="G28" s="5" t="inlineStr">
        <is>
          <t>1. ตรวจคอลัมน์ เลขที่ WO / ทรัพย์สิน/อาการ / ระดับ / ช่าง / SLA
2. คลิก "ดูงานทั้งหมด"</t>
        </is>
      </c>
      <c r="H28" s="5" t="inlineStr">
        <is>
          <t>-</t>
        </is>
      </c>
      <c r="I28" s="5" t="inlineStr">
        <is>
          <t>SLA แสดงเวลาคงเหลือ/เกิน (สีแดงเมื่อเกิน) อัปเดตตามเวลา; ระดับ P1–P3 มี chip สี; ลิงก์ไปหน้าใบสั่งงาน</t>
        </is>
      </c>
      <c r="J28" s="10" t="inlineStr">
        <is>
          <t>High</t>
        </is>
      </c>
      <c r="K28" s="5" t="inlineStr">
        <is>
          <t>ผู้จัดการซ่อมบำรุง (maint.mgr)</t>
        </is>
      </c>
      <c r="L28" s="5" t="n"/>
      <c r="M28" s="10" t="inlineStr">
        <is>
          <t>ยังไม่ทดสอบ</t>
        </is>
      </c>
      <c r="N28" s="5" t="n"/>
      <c r="O28" s="18" t="n"/>
      <c r="P28" s="5" t="n"/>
      <c r="Q28" s="5" t="inlineStr">
        <is>
          <t>c916d36c</t>
        </is>
      </c>
    </row>
    <row r="29" ht="47.5" customHeight="1">
      <c r="A29" s="10" t="inlineStr">
        <is>
          <t>UAT-DSH-005</t>
        </is>
      </c>
      <c r="B29" s="5" t="inlineStr">
        <is>
          <t>Command Center (แดชบอร์ด)</t>
        </is>
      </c>
      <c r="C29" s="5" t="inlineStr">
        <is>
          <t>Command Center</t>
        </is>
      </c>
      <c r="D29" s="5" t="inlineStr">
        <is>
          <t>การ์ด "ใกล้หมดอายุ (60 วัน)"</t>
        </is>
      </c>
      <c r="E29" s="10" t="inlineStr">
        <is>
          <t>Functional</t>
        </is>
      </c>
      <c r="F29" s="5" t="inlineStr">
        <is>
          <t>เข้าสู่ระบบแล้ว</t>
        </is>
      </c>
      <c r="G29" s="5" t="inlineStr">
        <is>
          <t>1. ตรวจรายการไลเซนส์/ประกัน/สอบเทียบ
2. คลิกรายการ</t>
        </is>
      </c>
      <c r="H29" s="5" t="inlineStr">
        <is>
          <t>-</t>
        </is>
      </c>
      <c r="I29" s="5" t="inlineStr">
        <is>
          <t>แสดงรายการเรียงตามวันคงเหลือน้อยไปมาก (เช่น M365 E3, FortiCare FW-001, Calibration GAU-011) พร้อมจำนวนวัน; คลิกแล้วไปหน้าที่เกี่ยวข้อง</t>
        </is>
      </c>
      <c r="J29" s="10" t="inlineStr">
        <is>
          <t>Medium</t>
        </is>
      </c>
      <c r="K29" s="5" t="inlineStr">
        <is>
          <t>ผู้ดูแลระบบ IT (it.admin)</t>
        </is>
      </c>
      <c r="L29" s="5" t="n"/>
      <c r="M29" s="10" t="inlineStr">
        <is>
          <t>ยังไม่ทดสอบ</t>
        </is>
      </c>
      <c r="N29" s="5" t="n"/>
      <c r="O29" s="18" t="n"/>
      <c r="P29" s="5" t="n"/>
      <c r="Q29" s="5" t="inlineStr">
        <is>
          <t>c916d36c</t>
        </is>
      </c>
    </row>
    <row r="30" ht="33" customHeight="1">
      <c r="A30" s="10" t="inlineStr">
        <is>
          <t>UAT-DSH-006</t>
        </is>
      </c>
      <c r="B30" s="5" t="inlineStr">
        <is>
          <t>Command Center (แดชบอร์ด)</t>
        </is>
      </c>
      <c r="C30" s="5" t="inlineStr">
        <is>
          <t>Command Center</t>
        </is>
      </c>
      <c r="D30" s="5" t="inlineStr">
        <is>
          <t>การ์ด "งบประมาณ ปีงบ 2569"</t>
        </is>
      </c>
      <c r="E30" s="10" t="inlineStr">
        <is>
          <t>UI</t>
        </is>
      </c>
      <c r="F30" s="5" t="inlineStr">
        <is>
          <t>เข้าสู่ระบบแล้ว</t>
        </is>
      </c>
      <c r="G30" s="5" t="inlineStr">
        <is>
          <t>1. ตรวจ progress OPEX/CAPEX</t>
        </is>
      </c>
      <c r="H30" s="5" t="inlineStr">
        <is>
          <t>-</t>
        </is>
      </c>
      <c r="I30" s="5" t="inlineStr">
        <is>
          <t>แสดง OPEX ใช้แล้ว % และ CAPEX ใช้+ผูกพัน % พร้อมยอดคงเหลือ ตรงกับหน้า ต้นทุน &amp; งบประมาณ</t>
        </is>
      </c>
      <c r="J30" s="10" t="inlineStr">
        <is>
          <t>Medium</t>
        </is>
      </c>
      <c r="K30" s="5" t="inlineStr">
        <is>
          <t>บัญชีสินทรัพย์ (account)</t>
        </is>
      </c>
      <c r="L30" s="5" t="n"/>
      <c r="M30" s="10" t="inlineStr">
        <is>
          <t>ยังไม่ทดสอบ</t>
        </is>
      </c>
      <c r="N30" s="5" t="n"/>
      <c r="O30" s="18" t="n"/>
      <c r="P30" s="5" t="n"/>
      <c r="Q30" s="5" t="inlineStr">
        <is>
          <t>c916d36c</t>
        </is>
      </c>
    </row>
    <row r="31" ht="33" customHeight="1">
      <c r="A31" s="10" t="inlineStr">
        <is>
          <t>UAT-DSH-007</t>
        </is>
      </c>
      <c r="B31" s="5" t="inlineStr">
        <is>
          <t>Command Center (แดชบอร์ด)</t>
        </is>
      </c>
      <c r="C31" s="5" t="inlineStr">
        <is>
          <t>Command Center</t>
        </is>
      </c>
      <c r="D31" s="5" t="inlineStr">
        <is>
          <t>กราฟ Bad actors (90 วัน)</t>
        </is>
      </c>
      <c r="E31" s="10" t="inlineStr">
        <is>
          <t>UI</t>
        </is>
      </c>
      <c r="F31" s="5" t="inlineStr">
        <is>
          <t>เข้าสู่ระบบแล้ว</t>
        </is>
      </c>
      <c r="G31" s="5" t="inlineStr">
        <is>
          <t>1. hover แท่งกราฟ Bad actors</t>
        </is>
      </c>
      <c r="H31" s="5" t="inlineStr">
        <is>
          <t>-</t>
        </is>
      </c>
      <c r="I31" s="5" t="inlineStr">
        <is>
          <t>แสดง Top 5 เครื่องที่หยุดบ่อย (CONV-03, MTR-007, …) tooltip แสดง "xx ชม. · n ครั้ง"</t>
        </is>
      </c>
      <c r="J31" s="10" t="inlineStr">
        <is>
          <t>Low</t>
        </is>
      </c>
      <c r="K31" s="5" t="inlineStr">
        <is>
          <t>ผู้ดูแลระบบสูงสุด (admin)</t>
        </is>
      </c>
      <c r="L31" s="5" t="n"/>
      <c r="M31" s="10" t="inlineStr">
        <is>
          <t>ยังไม่ทดสอบ</t>
        </is>
      </c>
      <c r="N31" s="5" t="n"/>
      <c r="O31" s="18" t="n"/>
      <c r="P31" s="5" t="n"/>
      <c r="Q31" s="5" t="inlineStr">
        <is>
          <t>c916d36c</t>
        </is>
      </c>
    </row>
    <row r="32" ht="33" customHeight="1">
      <c r="A32" s="10" t="inlineStr">
        <is>
          <t>UAT-DSH-008</t>
        </is>
      </c>
      <c r="B32" s="5" t="inlineStr">
        <is>
          <t>Command Center (แดชบอร์ด)</t>
        </is>
      </c>
      <c r="C32" s="5" t="inlineStr">
        <is>
          <t>Command Center</t>
        </is>
      </c>
      <c r="D32" s="5" t="inlineStr">
        <is>
          <t>แผนที่ตำแหน่งทรัพย์สิน GPS/Geofence</t>
        </is>
      </c>
      <c r="E32" s="10" t="inlineStr">
        <is>
          <t>UI</t>
        </is>
      </c>
      <c r="F32" s="5" t="inlineStr">
        <is>
          <t>เข้าสู่ระบบแล้ว</t>
        </is>
      </c>
      <c r="G32" s="5" t="inlineStr">
        <is>
          <t>1. ตรวจการ์ดแผนที่</t>
        </is>
      </c>
      <c r="H32" s="5" t="inlineStr">
        <is>
          <t>-</t>
        </is>
      </c>
      <c r="I32" s="5" t="inlineStr">
        <is>
          <t>แสดงจุดทรัพย์สินและ Geofence; จุดนอกเขตเป็นสีแดง; จำนวนตรงกับหน้า ติดตามตำแหน่ง</t>
        </is>
      </c>
      <c r="J32" s="10" t="inlineStr">
        <is>
          <t>Low</t>
        </is>
      </c>
      <c r="K32" s="5" t="inlineStr">
        <is>
          <t>ผู้ดูแลระบบสูงสุด (admin)</t>
        </is>
      </c>
      <c r="L32" s="5" t="n"/>
      <c r="M32" s="10" t="inlineStr">
        <is>
          <t>ยังไม่ทดสอบ</t>
        </is>
      </c>
      <c r="N32" s="5" t="n"/>
      <c r="O32" s="18" t="n"/>
      <c r="P32" s="5" t="n"/>
      <c r="Q32" s="5" t="inlineStr">
        <is>
          <t>c916d36c</t>
        </is>
      </c>
    </row>
    <row r="33" ht="33" customHeight="1">
      <c r="A33" s="10" t="inlineStr">
        <is>
          <t>UAT-DSH-009</t>
        </is>
      </c>
      <c r="B33" s="5" t="inlineStr">
        <is>
          <t>Command Center (แดชบอร์ด)</t>
        </is>
      </c>
      <c r="C33" s="5" t="inlineStr">
        <is>
          <t>Command Center</t>
        </is>
      </c>
      <c r="D33" s="5" t="inlineStr">
        <is>
          <t>Asset Health และ Stocktake progress</t>
        </is>
      </c>
      <c r="E33" s="10" t="inlineStr">
        <is>
          <t>UI</t>
        </is>
      </c>
      <c r="F33" s="5" t="inlineStr">
        <is>
          <t>เข้าสู่ระบบแล้ว</t>
        </is>
      </c>
      <c r="G33" s="5" t="inlineStr">
        <is>
          <t>1. ตรวจกราฟ Asset Health และ progress ตรวจนับ</t>
        </is>
      </c>
      <c r="H33" s="5" t="inlineStr">
        <is>
          <t>-</t>
        </is>
      </c>
      <c r="I33" s="5" t="inlineStr">
        <is>
          <t>Asset Health แบ่ง ดี/พอใช้/แย่ ถูกต้อง; ความคืบหน้ารอบตรวจนับ (เช่น ST-2569-0001 58%) ตรงกับหน้าตรวจนับ</t>
        </is>
      </c>
      <c r="J33" s="10" t="inlineStr">
        <is>
          <t>Low</t>
        </is>
      </c>
      <c r="K33" s="5" t="inlineStr">
        <is>
          <t>ผู้ดูแลระบบสูงสุด (admin)</t>
        </is>
      </c>
      <c r="L33" s="5" t="n"/>
      <c r="M33" s="10" t="inlineStr">
        <is>
          <t>ยังไม่ทดสอบ</t>
        </is>
      </c>
      <c r="N33" s="5" t="n"/>
      <c r="O33" s="18" t="n"/>
      <c r="P33" s="5" t="n"/>
      <c r="Q33" s="5" t="inlineStr">
        <is>
          <t>c916d36c</t>
        </is>
      </c>
    </row>
    <row r="34" ht="33" customHeight="1">
      <c r="A34" s="10" t="inlineStr">
        <is>
          <t>UAT-DSH-010</t>
        </is>
      </c>
      <c r="B34" s="5" t="inlineStr">
        <is>
          <t>Command Center (แดชบอร์ด)</t>
        </is>
      </c>
      <c r="C34" s="5" t="inlineStr">
        <is>
          <t>Command Center</t>
        </is>
      </c>
      <c r="D34" s="5" t="inlineStr">
        <is>
          <t>ตัวกรองไซต์มีผลกับแดชบอร์ด</t>
        </is>
      </c>
      <c r="E34" s="10" t="inlineStr">
        <is>
          <t>Functional</t>
        </is>
      </c>
      <c r="F34" s="5" t="inlineStr">
        <is>
          <t>เข้าสู่ระบบแล้ว</t>
        </is>
      </c>
      <c r="G34" s="5" t="inlineStr">
        <is>
          <t>1. เลือกไซต์ "โรงงานระยอง"
2. ตรวจ KPI/กราฟ</t>
        </is>
      </c>
      <c r="H34" s="5" t="inlineStr">
        <is>
          <t>-</t>
        </is>
      </c>
      <c r="I34" s="5" t="inlineStr">
        <is>
          <t>KPI และกราฟคำนวณเฉพาะไซต์ระยอง; เลือก "ทุกไซต์" แล้วกลับเป็นยอดรวม</t>
        </is>
      </c>
      <c r="J34" s="10" t="inlineStr">
        <is>
          <t>High</t>
        </is>
      </c>
      <c r="K34" s="5" t="inlineStr">
        <is>
          <t>ผู้บริหาร (exec)</t>
        </is>
      </c>
      <c r="L34" s="5" t="n"/>
      <c r="M34" s="10" t="inlineStr">
        <is>
          <t>ยังไม่ทดสอบ</t>
        </is>
      </c>
      <c r="N34" s="5" t="n"/>
      <c r="O34" s="18" t="n"/>
      <c r="P34" s="5" t="n"/>
      <c r="Q34" s="5" t="inlineStr">
        <is>
          <t>c916d36c</t>
        </is>
      </c>
    </row>
    <row r="35" ht="33" customHeight="1">
      <c r="A35" s="10" t="inlineStr">
        <is>
          <t>UAT-DSH-011</t>
        </is>
      </c>
      <c r="B35" s="5" t="inlineStr">
        <is>
          <t>Command Center (แดชบอร์ด)</t>
        </is>
      </c>
      <c r="C35" s="5" t="inlineStr">
        <is>
          <t>Command Center</t>
        </is>
      </c>
      <c r="D35" s="5" t="inlineStr">
        <is>
          <t>นาฬิกาและ auto-refresh</t>
        </is>
      </c>
      <c r="E35" s="10" t="inlineStr">
        <is>
          <t>Functional</t>
        </is>
      </c>
      <c r="F35" s="5" t="inlineStr">
        <is>
          <t>เข้าสู่ระบบแล้ว</t>
        </is>
      </c>
      <c r="G35" s="5" t="inlineStr">
        <is>
          <t>1. เปิดหน้าทิ้งไว้ 2 นาที</t>
        </is>
      </c>
      <c r="H35" s="5" t="inlineStr">
        <is>
          <t>-</t>
        </is>
      </c>
      <c r="I35" s="5" t="inlineStr">
        <is>
          <t>นาฬิกาเดินทุกวินาที; ข้อมูลรีเฟรชอัตโนมัติทุก 60 วินาทีโดยไม่กระพริบ/ไม่รีโหลดทั้งหน้า</t>
        </is>
      </c>
      <c r="J35" s="10" t="inlineStr">
        <is>
          <t>Low</t>
        </is>
      </c>
      <c r="K35" s="5" t="inlineStr">
        <is>
          <t>ผู้ดูแลระบบสูงสุด (admin)</t>
        </is>
      </c>
      <c r="L35" s="5" t="n"/>
      <c r="M35" s="10" t="inlineStr">
        <is>
          <t>ยังไม่ทดสอบ</t>
        </is>
      </c>
      <c r="N35" s="5" t="n"/>
      <c r="O35" s="18" t="n"/>
      <c r="P35" s="5" t="n"/>
      <c r="Q35" s="5" t="inlineStr">
        <is>
          <t>c916d36c</t>
        </is>
      </c>
    </row>
    <row r="36" ht="18.5" customHeight="1">
      <c r="A36" s="10" t="inlineStr">
        <is>
          <t>UAT-DSH-012</t>
        </is>
      </c>
      <c r="B36" s="5" t="inlineStr">
        <is>
          <t>Command Center (แดชบอร์ด)</t>
        </is>
      </c>
      <c r="C36" s="5" t="inlineStr">
        <is>
          <t>Command Center</t>
        </is>
      </c>
      <c r="D36" s="5" t="inlineStr">
        <is>
          <t>ปุ่ม "จัดการฟิลด์" (Custom Field)</t>
        </is>
      </c>
      <c r="E36" s="10" t="inlineStr">
        <is>
          <t>Functional</t>
        </is>
      </c>
      <c r="F36" s="5" t="inlineStr">
        <is>
          <t>เข้าสู่ระบบแล้ว</t>
        </is>
      </c>
      <c r="G36" s="5" t="inlineStr">
        <is>
          <t>1. คลิก "จัดการฟิลด์" ในการ์ด "เพิ่มฟิลด์ที่ต้องการ"</t>
        </is>
      </c>
      <c r="H36" s="5" t="inlineStr">
        <is>
          <t>-</t>
        </is>
      </c>
      <c r="I36" s="5" t="inlineStr">
        <is>
          <t>นำไปยังหน้า Custom Field Builder ใน ข้อมูลหลัก</t>
        </is>
      </c>
      <c r="J36" s="10" t="inlineStr">
        <is>
          <t>Low</t>
        </is>
      </c>
      <c r="K36" s="5" t="inlineStr">
        <is>
          <t>ผู้ดูแลระบบสูงสุด (admin)</t>
        </is>
      </c>
      <c r="L36" s="5" t="n"/>
      <c r="M36" s="10" t="inlineStr">
        <is>
          <t>ยังไม่ทดสอบ</t>
        </is>
      </c>
      <c r="N36" s="5" t="n"/>
      <c r="O36" s="18" t="n"/>
      <c r="P36" s="5" t="n"/>
      <c r="Q36" s="5" t="inlineStr">
        <is>
          <t>c916d36c</t>
        </is>
      </c>
    </row>
    <row r="37" ht="33" customHeight="1">
      <c r="A37" s="10" t="inlineStr">
        <is>
          <t>UAT-DSH-013</t>
        </is>
      </c>
      <c r="B37" s="5" t="inlineStr">
        <is>
          <t>Command Center (แดชบอร์ด)</t>
        </is>
      </c>
      <c r="C37" s="5" t="inlineStr">
        <is>
          <t>Command Center</t>
        </is>
      </c>
      <c r="D37" s="5" t="inlineStr">
        <is>
          <t>ผู้แจ้งซ่อมเห็นเฉพาะข้อมูลในขอบเขต</t>
        </is>
      </c>
      <c r="E37" s="10" t="inlineStr">
        <is>
          <t>Permission</t>
        </is>
      </c>
      <c r="F37" s="5" t="inlineStr">
        <is>
          <t>ล็อกอินเป็น user (ขอบเขต: เฉพาะที่ถือครอง)</t>
        </is>
      </c>
      <c r="G37" s="5" t="inlineStr">
        <is>
          <t>1. เปิด Command Center</t>
        </is>
      </c>
      <c r="H37" s="5" t="inlineStr">
        <is>
          <t>-</t>
        </is>
      </c>
      <c r="I37" s="5" t="inlineStr">
        <is>
          <t>ไม่แสดง KPI การเงิน/งบประมาณ หรือแสดงเฉพาะข้อมูลทรัพย์สินที่ถือครอง ตามสิทธิ์ "ดู Command Center"</t>
        </is>
      </c>
      <c r="J37" s="10" t="inlineStr">
        <is>
          <t>High</t>
        </is>
      </c>
      <c r="K37" s="5" t="inlineStr">
        <is>
          <t>ผู้แจ้งซ่อม/ผู้ใช้งานทั่วไป (user)</t>
        </is>
      </c>
      <c r="L37" s="5" t="n"/>
      <c r="M37" s="10" t="inlineStr">
        <is>
          <t>ยังไม่ทดสอบ</t>
        </is>
      </c>
      <c r="N37" s="5" t="n"/>
      <c r="O37" s="18" t="n"/>
      <c r="P37" s="5" t="n"/>
      <c r="Q37" s="5" t="inlineStr">
        <is>
          <t>c916d36c</t>
        </is>
      </c>
    </row>
    <row r="38" ht="47.5" customHeight="1">
      <c r="A38" s="10" t="inlineStr">
        <is>
          <t>UAT-DSH-014</t>
        </is>
      </c>
      <c r="B38" s="5" t="inlineStr">
        <is>
          <t>Command Center (แดชบอร์ด)</t>
        </is>
      </c>
      <c r="C38" s="5" t="inlineStr">
        <is>
          <t>Command Center</t>
        </is>
      </c>
      <c r="D38" s="5" t="inlineStr">
        <is>
          <t>ค้นหาไม่พบข้อมูล (Command Center)</t>
        </is>
      </c>
      <c r="E38" s="10" t="inlineStr">
        <is>
          <t>Negative</t>
        </is>
      </c>
      <c r="F38" s="5" t="inlineStr">
        <is>
          <t>เข้าสู่ระบบแล้ว และอยู่ที่หน้าCommand Center</t>
        </is>
      </c>
      <c r="G38" s="5" t="inlineStr">
        <is>
          <t>1. พิมพ์คำค้นที่ไม่มีอยู่จริงในช่อง "ค้นหา WO / ทรัพย์สิน / อุปกรณ์ / ผู้ใช้งาน…"
2. สังเกตตาราง/รายการ</t>
        </is>
      </c>
      <c r="H38" s="5" t="inlineStr">
        <is>
          <t>คำค้น: ZZZ-NOTFOUND-999</t>
        </is>
      </c>
      <c r="I38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8" s="10" t="inlineStr">
        <is>
          <t>Low</t>
        </is>
      </c>
      <c r="K38" s="5" t="inlineStr">
        <is>
          <t>ผู้บริหาร (exec)</t>
        </is>
      </c>
      <c r="L38" s="5" t="n"/>
      <c r="M38" s="10" t="inlineStr">
        <is>
          <t>ยังไม่ทดสอบ</t>
        </is>
      </c>
      <c r="N38" s="5" t="n"/>
      <c r="O38" s="18" t="n"/>
      <c r="P38" s="5" t="n"/>
      <c r="Q38" s="5" t="inlineStr">
        <is>
          <t>c916d36c</t>
        </is>
      </c>
    </row>
    <row r="39" ht="47.5" customHeight="1">
      <c r="A39" s="10" t="inlineStr">
        <is>
          <t>UAT-DSH-015</t>
        </is>
      </c>
      <c r="B39" s="5" t="inlineStr">
        <is>
          <t>Command Center (แดชบอร์ด)</t>
        </is>
      </c>
      <c r="C39" s="5" t="inlineStr">
        <is>
          <t>Command Center</t>
        </is>
      </c>
      <c r="D39" s="5" t="inlineStr">
        <is>
          <t>ค้นหาด้วยคำค้นที่มีอยู่จริง (Command Center)</t>
        </is>
      </c>
      <c r="E39" s="10" t="inlineStr">
        <is>
          <t>Functional</t>
        </is>
      </c>
      <c r="F39" s="5" t="inlineStr">
        <is>
          <t>เข้าสู่ระบบแล้ว และอยู่ที่หน้าCommand Center</t>
        </is>
      </c>
      <c r="G39" s="5" t="inlineStr">
        <is>
          <t>1. พิมพ์คำค้นในช่อง "ค้นหา WO / ทรัพย์สิน / อุปกรณ์ / ผู้ใช้งาน…"
2. ตรวจรายการที่แสดง
3. ล้างคำค้น</t>
        </is>
      </c>
      <c r="H39" s="5" t="inlineStr">
        <is>
          <t>คำค้น: CONV-03</t>
        </is>
      </c>
      <c r="I39" s="5" t="inlineStr">
        <is>
          <t>แสดงเฉพาะรายการที่ตรงกับคำค้น (ผลลัพธ์ CONV-03 สายพานลำเลียง Line 2); เมื่อล้างคำค้นรายการกลับมาครบ</t>
        </is>
      </c>
      <c r="J39" s="10" t="inlineStr">
        <is>
          <t>Medium</t>
        </is>
      </c>
      <c r="K39" s="5" t="inlineStr">
        <is>
          <t>ผู้บริหาร (exec)</t>
        </is>
      </c>
      <c r="L39" s="5" t="n"/>
      <c r="M39" s="10" t="inlineStr">
        <is>
          <t>ยังไม่ทดสอบ</t>
        </is>
      </c>
      <c r="N39" s="5" t="n"/>
      <c r="O39" s="18" t="n"/>
      <c r="P39" s="5" t="n"/>
      <c r="Q39" s="5" t="inlineStr">
        <is>
          <t>c916d36c</t>
        </is>
      </c>
    </row>
    <row r="40" ht="62" customHeight="1">
      <c r="A40" s="10" t="inlineStr">
        <is>
          <t>UAT-DSH-016</t>
        </is>
      </c>
      <c r="B40" s="5" t="inlineStr">
        <is>
          <t>Command Center (แดชบอร์ด)</t>
        </is>
      </c>
      <c r="C40" s="5" t="inlineStr">
        <is>
          <t>Command Center</t>
        </is>
      </c>
      <c r="D40" s="5" t="inlineStr">
        <is>
          <t>แสดงผลบนมือถือ 375px (Command Center)</t>
        </is>
      </c>
      <c r="E40" s="10" t="inlineStr">
        <is>
          <t>Responsive</t>
        </is>
      </c>
      <c r="F40" s="5" t="inlineStr">
        <is>
          <t>เข้าสู่ระบบแล้ว; เปิด DevTools โหมดอุปกรณ์ iPhone SE/375×667</t>
        </is>
      </c>
      <c r="G40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0" s="5" t="inlineStr">
        <is>
          <t>ความกว้าง 375px</t>
        </is>
      </c>
      <c r="I40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0" s="10" t="inlineStr">
        <is>
          <t>Medium</t>
        </is>
      </c>
      <c r="K40" s="5" t="inlineStr">
        <is>
          <t>ผู้บริหาร (exec)</t>
        </is>
      </c>
      <c r="L40" s="5" t="n"/>
      <c r="M40" s="10" t="inlineStr">
        <is>
          <t>ยังไม่ทดสอบ</t>
        </is>
      </c>
      <c r="N40" s="5" t="n"/>
      <c r="O40" s="18" t="n"/>
      <c r="P40" s="5" t="n"/>
      <c r="Q40" s="5" t="inlineStr">
        <is>
          <t>c916d36c</t>
        </is>
      </c>
    </row>
    <row r="41" ht="62" customHeight="1">
      <c r="A41" s="10" t="inlineStr">
        <is>
          <t>UAT-DSH-017</t>
        </is>
      </c>
      <c r="B41" s="5" t="inlineStr">
        <is>
          <t>Command Center (แดชบอร์ด)</t>
        </is>
      </c>
      <c r="C41" s="5" t="inlineStr">
        <is>
          <t>Command Center</t>
        </is>
      </c>
      <c r="D41" s="5" t="inlineStr">
        <is>
          <t>แสดงผลบน Desktop 1920px และความอ่านง่ายธีมมืด (Command Center)</t>
        </is>
      </c>
      <c r="E41" s="10" t="inlineStr">
        <is>
          <t>UI</t>
        </is>
      </c>
      <c r="F41" s="5" t="inlineStr">
        <is>
          <t>เข้าสู่ระบบแล้ว; หน้าจอ 1920×1080</t>
        </is>
      </c>
      <c r="G41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1" s="5" t="inlineStr">
        <is>
          <t>ความกว้าง 1920px</t>
        </is>
      </c>
      <c r="I41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1" s="10" t="inlineStr">
        <is>
          <t>Low</t>
        </is>
      </c>
      <c r="K41" s="5" t="inlineStr">
        <is>
          <t>ผู้บริหาร (exec)</t>
        </is>
      </c>
      <c r="L41" s="5" t="n"/>
      <c r="M41" s="10" t="inlineStr">
        <is>
          <t>ยังไม่ทดสอบ</t>
        </is>
      </c>
      <c r="N41" s="5" t="n"/>
      <c r="O41" s="18" t="n"/>
      <c r="P41" s="5" t="n"/>
      <c r="Q41" s="5" t="inlineStr">
        <is>
          <t>c916d36c</t>
        </is>
      </c>
    </row>
    <row r="42" ht="47.5" customHeight="1">
      <c r="A42" s="10" t="inlineStr">
        <is>
          <t>UAT-TV-001</t>
        </is>
      </c>
      <c r="B42" s="5" t="inlineStr">
        <is>
          <t>จอแสดงผล TV</t>
        </is>
      </c>
      <c r="C42" s="5" t="inlineStr">
        <is>
          <t>จอแสดงผล TV</t>
        </is>
      </c>
      <c r="D42" s="5" t="inlineStr">
        <is>
          <t>แสดง KPI แบบ kiosk</t>
        </is>
      </c>
      <c r="E42" s="10" t="inlineStr">
        <is>
          <t>UI</t>
        </is>
      </c>
      <c r="F42" s="5" t="inlineStr">
        <is>
          <t>มีสิทธิ์ "ดูจอแสดงผล TV"</t>
        </is>
      </c>
      <c r="G42" s="5" t="inlineStr">
        <is>
          <t>1. เปิดหน้าจอแสดงผล TV</t>
        </is>
      </c>
      <c r="H42" s="5" t="inlineStr">
        <is>
          <t>-</t>
        </is>
      </c>
      <c r="I42" s="5" t="inlineStr">
        <is>
          <t>แสดง ใบงานค้าง, เกิน SLA, เสียวันนี้, ปิดวันนี้, เครื่องหยุด, Availability %, PM 30 วัน, IoT เกินเกณฑ์ ตัวอักษรขนาดใหญ่อ่านจากระยะไกลได้</t>
        </is>
      </c>
      <c r="J42" s="10" t="inlineStr">
        <is>
          <t>Medium</t>
        </is>
      </c>
      <c r="K42" s="5" t="inlineStr">
        <is>
          <t>ผู้จัดการซ่อมบำรุง (maint.mgr)</t>
        </is>
      </c>
      <c r="L42" s="5" t="n"/>
      <c r="M42" s="10" t="inlineStr">
        <is>
          <t>ยังไม่ทดสอบ</t>
        </is>
      </c>
      <c r="N42" s="5" t="n"/>
      <c r="O42" s="18" t="n"/>
      <c r="P42" s="5" t="n"/>
      <c r="Q42" s="5" t="inlineStr">
        <is>
          <t>2f8beddb</t>
        </is>
      </c>
    </row>
    <row r="43" ht="33" customHeight="1">
      <c r="A43" s="10" t="inlineStr">
        <is>
          <t>UAT-TV-002</t>
        </is>
      </c>
      <c r="B43" s="5" t="inlineStr">
        <is>
          <t>จอแสดงผล TV</t>
        </is>
      </c>
      <c r="C43" s="5" t="inlineStr">
        <is>
          <t>จอแสดงผล TV</t>
        </is>
      </c>
      <c r="D43" s="5" t="inlineStr">
        <is>
          <t>ตาราง "ใบงานเร่งด่วน" เรียงตามความเร่งด่วน</t>
        </is>
      </c>
      <c r="E43" s="10" t="inlineStr">
        <is>
          <t>Functional</t>
        </is>
      </c>
      <c r="F43" s="5" t="inlineStr">
        <is>
          <t>มี WO P1–P3</t>
        </is>
      </c>
      <c r="G43" s="5" t="inlineStr">
        <is>
          <t>1. ตรวจลำดับรายการ
2. สังเกต SLA countdown 1 นาที</t>
        </is>
      </c>
      <c r="H43" s="5" t="inlineStr">
        <is>
          <t>-</t>
        </is>
      </c>
      <c r="I43" s="5" t="inlineStr">
        <is>
          <t>เรียงตามระดับความสำคัญแล้วตาม SLA คงเหลือ; ค่าลบ/เกินแสดงสีแดง "เกิน x ชม."; countdown เดินทุกนาที</t>
        </is>
      </c>
      <c r="J43" s="10" t="inlineStr">
        <is>
          <t>High</t>
        </is>
      </c>
      <c r="K43" s="5" t="inlineStr">
        <is>
          <t>ผู้จัดการซ่อมบำรุง (maint.mgr)</t>
        </is>
      </c>
      <c r="L43" s="5" t="n"/>
      <c r="M43" s="10" t="inlineStr">
        <is>
          <t>ยังไม่ทดสอบ</t>
        </is>
      </c>
      <c r="N43" s="5" t="n"/>
      <c r="O43" s="18" t="n"/>
      <c r="P43" s="5" t="n"/>
      <c r="Q43" s="5" t="inlineStr">
        <is>
          <t>2f8beddb</t>
        </is>
      </c>
    </row>
    <row r="44" ht="33" customHeight="1">
      <c r="A44" s="10" t="inlineStr">
        <is>
          <t>UAT-TV-003</t>
        </is>
      </c>
      <c r="B44" s="5" t="inlineStr">
        <is>
          <t>จอแสดงผล TV</t>
        </is>
      </c>
      <c r="C44" s="5" t="inlineStr">
        <is>
          <t>จอแสดงผล TV</t>
        </is>
      </c>
      <c r="D44" s="5" t="inlineStr">
        <is>
          <t>นาฬิกาและเวลาอัปเดตล่าสุด</t>
        </is>
      </c>
      <c r="E44" s="10" t="inlineStr">
        <is>
          <t>UI</t>
        </is>
      </c>
      <c r="F44" s="5" t="inlineStr">
        <is>
          <t>เข้าสู่ระบบแล้ว</t>
        </is>
      </c>
      <c r="G44" s="5" t="inlineStr">
        <is>
          <t>1. สังเกตนาฬิกาและ "อัปเดตล่าสุด"</t>
        </is>
      </c>
      <c r="H44" s="5" t="inlineStr">
        <is>
          <t>-</t>
        </is>
      </c>
      <c r="I44" s="5" t="inlineStr">
        <is>
          <t>นาฬิกาแสดงเวลา Asia/Bangkok และวันที่ พ.ศ.; เวลาอัปเดตล่าสุดเปลี่ยนตามรอบรีเฟรช</t>
        </is>
      </c>
      <c r="J44" s="10" t="inlineStr">
        <is>
          <t>Low</t>
        </is>
      </c>
      <c r="K44" s="5" t="inlineStr">
        <is>
          <t>ผู้ดูแลระบบสูงสุด (admin)</t>
        </is>
      </c>
      <c r="L44" s="5" t="n"/>
      <c r="M44" s="10" t="inlineStr">
        <is>
          <t>ยังไม่ทดสอบ</t>
        </is>
      </c>
      <c r="N44" s="5" t="n"/>
      <c r="O44" s="18" t="n"/>
      <c r="P44" s="5" t="n"/>
      <c r="Q44" s="5" t="inlineStr">
        <is>
          <t>2f8beddb</t>
        </is>
      </c>
    </row>
    <row r="45" ht="33" customHeight="1">
      <c r="A45" s="10" t="inlineStr">
        <is>
          <t>UAT-TV-004</t>
        </is>
      </c>
      <c r="B45" s="5" t="inlineStr">
        <is>
          <t>จอแสดงผล TV</t>
        </is>
      </c>
      <c r="C45" s="5" t="inlineStr">
        <is>
          <t>จอแสดงผล TV</t>
        </is>
      </c>
      <c r="D45" s="5" t="inlineStr">
        <is>
          <t>ปุ่ม "ลิงก์จอติดผนัง"</t>
        </is>
      </c>
      <c r="E45" s="10" t="inlineStr">
        <is>
          <t>Functional</t>
        </is>
      </c>
      <c r="F45" s="5" t="inlineStr">
        <is>
          <t>เข้าสู่ระบบแล้ว</t>
        </is>
      </c>
      <c r="G45" s="5" t="inlineStr">
        <is>
          <t>1. คลิก "ลิงก์จอติดผนัง"
2. วางลิงก์ในเบราว์เซอร์อื่นที่ไม่ได้ล็อกอิน</t>
        </is>
      </c>
      <c r="H45" s="5" t="inlineStr">
        <is>
          <t>-</t>
        </is>
      </c>
      <c r="I45" s="5" t="inlineStr">
        <is>
          <t>ระบบคัดลอกลิงก์ kiosk แล้วแจ้ง toast; ลิงก์เปิดจอ TV ได้โดยไม่ต้องล็อกอินแต่ดูได้อย่างเดียว; Audit Log บันทึก kiosk_create</t>
        </is>
      </c>
      <c r="J45" s="10" t="inlineStr">
        <is>
          <t>Medium</t>
        </is>
      </c>
      <c r="K45" s="5" t="inlineStr">
        <is>
          <t>ผู้ดูแลระบบ IT (it.admin)</t>
        </is>
      </c>
      <c r="L45" s="5" t="n"/>
      <c r="M45" s="10" t="inlineStr">
        <is>
          <t>ยังไม่ทดสอบ</t>
        </is>
      </c>
      <c r="N45" s="5" t="n"/>
      <c r="O45" s="18" t="n"/>
      <c r="P45" s="5" t="n"/>
      <c r="Q45" s="5" t="inlineStr">
        <is>
          <t>2f8beddb</t>
        </is>
      </c>
    </row>
    <row r="46" ht="33" customHeight="1">
      <c r="A46" s="10" t="inlineStr">
        <is>
          <t>UAT-TV-005</t>
        </is>
      </c>
      <c r="B46" s="5" t="inlineStr">
        <is>
          <t>จอแสดงผล TV</t>
        </is>
      </c>
      <c r="C46" s="5" t="inlineStr">
        <is>
          <t>จอแสดงผล TV</t>
        </is>
      </c>
      <c r="D46" s="5" t="inlineStr">
        <is>
          <t>เพิกถอนลิงก์ kiosk</t>
        </is>
      </c>
      <c r="E46" s="10" t="inlineStr">
        <is>
          <t>Negative</t>
        </is>
      </c>
      <c r="F46" s="5" t="inlineStr">
        <is>
          <t>มีลิงก์ kiosk ที่สร้างไว้</t>
        </is>
      </c>
      <c r="G46" s="5" t="inlineStr">
        <is>
          <t>1. เพิกถอนลิงก์ (kiosk_revoke)
2. เปิดลิงก์เดิม</t>
        </is>
      </c>
      <c r="H46" s="5" t="inlineStr">
        <is>
          <t>-</t>
        </is>
      </c>
      <c r="I46" s="5" t="inlineStr">
        <is>
          <t>ลิงก์เดิมใช้ไม่ได้ แสดงข้อความหมดสิทธิ์</t>
        </is>
      </c>
      <c r="J46" s="10" t="inlineStr">
        <is>
          <t>Medium</t>
        </is>
      </c>
      <c r="K46" s="5" t="inlineStr">
        <is>
          <t>ผู้ดูแลระบบ IT (it.admin)</t>
        </is>
      </c>
      <c r="L46" s="5" t="n"/>
      <c r="M46" s="10" t="inlineStr">
        <is>
          <t>ยังไม่ทดสอบ</t>
        </is>
      </c>
      <c r="N46" s="5" t="n"/>
      <c r="O46" s="18" t="n"/>
      <c r="P46" s="5" t="inlineStr">
        <is>
          <t>ฟังก์ชันเพิกถอนอ้างอิงระบบเดิม (Audit: kiosk_revoke) — ยังไม่มีปุ่มใน mockup</t>
        </is>
      </c>
      <c r="Q46" s="5" t="inlineStr">
        <is>
          <t>2f8beddb</t>
        </is>
      </c>
    </row>
    <row r="47" ht="33" customHeight="1">
      <c r="A47" s="10" t="inlineStr">
        <is>
          <t>UAT-TV-006</t>
        </is>
      </c>
      <c r="B47" s="5" t="inlineStr">
        <is>
          <t>จอแสดงผล TV</t>
        </is>
      </c>
      <c r="C47" s="5" t="inlineStr">
        <is>
          <t>จอแสดงผล TV</t>
        </is>
      </c>
      <c r="D47" s="5" t="inlineStr">
        <is>
          <t>ปุ่ม "เต็มจอ"</t>
        </is>
      </c>
      <c r="E47" s="10" t="inlineStr">
        <is>
          <t>Functional</t>
        </is>
      </c>
      <c r="F47" s="5" t="inlineStr">
        <is>
          <t>เข้าสู่ระบบแล้ว</t>
        </is>
      </c>
      <c r="G47" s="5" t="inlineStr">
        <is>
          <t>1. คลิก "เต็มจอ"
2. กด Esc</t>
        </is>
      </c>
      <c r="H47" s="5" t="inlineStr">
        <is>
          <t>-</t>
        </is>
      </c>
      <c r="I47" s="5" t="inlineStr">
        <is>
          <t>เข้าโหมดเต็มจอ; ถ้าเบราว์เซอร์ไม่อนุญาตแสดงข้อความ "เบราว์เซอร์ไม่อนุญาตโหมดเต็มจอ"</t>
        </is>
      </c>
      <c r="J47" s="10" t="inlineStr">
        <is>
          <t>Low</t>
        </is>
      </c>
      <c r="K47" s="5" t="inlineStr">
        <is>
          <t>ผู้ดูแลระบบสูงสุด (admin)</t>
        </is>
      </c>
      <c r="L47" s="5" t="n"/>
      <c r="M47" s="10" t="inlineStr">
        <is>
          <t>ยังไม่ทดสอบ</t>
        </is>
      </c>
      <c r="N47" s="5" t="n"/>
      <c r="O47" s="18" t="n"/>
      <c r="P47" s="5" t="n"/>
      <c r="Q47" s="5" t="inlineStr">
        <is>
          <t>2f8beddb</t>
        </is>
      </c>
    </row>
    <row r="48" ht="33" customHeight="1">
      <c r="A48" s="10" t="inlineStr">
        <is>
          <t>UAT-TV-007</t>
        </is>
      </c>
      <c r="B48" s="5" t="inlineStr">
        <is>
          <t>จอแสดงผล TV</t>
        </is>
      </c>
      <c r="C48" s="5" t="inlineStr">
        <is>
          <t>จอแสดงผล TV</t>
        </is>
      </c>
      <c r="D48" s="5" t="inlineStr">
        <is>
          <t>การ์ดเครื่องหยุด/ซ่อม และ PM ที่จะถึง</t>
        </is>
      </c>
      <c r="E48" s="10" t="inlineStr">
        <is>
          <t>UI</t>
        </is>
      </c>
      <c r="F48" s="5" t="inlineStr">
        <is>
          <t>เข้าสู่ระบบแล้ว</t>
        </is>
      </c>
      <c r="G48" s="5" t="inlineStr">
        <is>
          <t>1. ตรวจส่วน "เครื่องหยุด/ซ่อม" และ "PM ที่จะถึง"</t>
        </is>
      </c>
      <c r="H48" s="5" t="inlineStr">
        <is>
          <t>-</t>
        </is>
      </c>
      <c r="I48" s="5" t="inlineStr">
        <is>
          <t>แสดงเครื่องหยุด (CONV-03, MTR-007, AHU-05) พร้อมสถานะ ที่ตั้ง เวลาเริ่ม downtime; รายการ PM พร้อมวันที่ พ.ศ.</t>
        </is>
      </c>
      <c r="J48" s="10" t="inlineStr">
        <is>
          <t>Low</t>
        </is>
      </c>
      <c r="K48" s="5" t="inlineStr">
        <is>
          <t>ผู้ดูแลระบบสูงสุด (admin)</t>
        </is>
      </c>
      <c r="L48" s="5" t="n"/>
      <c r="M48" s="10" t="inlineStr">
        <is>
          <t>ยังไม่ทดสอบ</t>
        </is>
      </c>
      <c r="N48" s="5" t="n"/>
      <c r="O48" s="18" t="n"/>
      <c r="P48" s="5" t="n"/>
      <c r="Q48" s="5" t="inlineStr">
        <is>
          <t>2f8beddb</t>
        </is>
      </c>
    </row>
    <row r="49" ht="33" customHeight="1">
      <c r="A49" s="10" t="inlineStr">
        <is>
          <t>UAT-TV-008</t>
        </is>
      </c>
      <c r="B49" s="5" t="inlineStr">
        <is>
          <t>จอแสดงผล TV</t>
        </is>
      </c>
      <c r="C49" s="5" t="inlineStr">
        <is>
          <t>จอแสดงผล TV</t>
        </is>
      </c>
      <c r="D49" s="5" t="inlineStr">
        <is>
          <t>สัญญาณเตือน IoT/Geofence</t>
        </is>
      </c>
      <c r="E49" s="10" t="inlineStr">
        <is>
          <t>UI</t>
        </is>
      </c>
      <c r="F49" s="5" t="inlineStr">
        <is>
          <t>มีเซนเซอร์เกินเกณฑ์</t>
        </is>
      </c>
      <c r="G49" s="5" t="inlineStr">
        <is>
          <t>1. ตรวจส่วน "สัญญาณเตือน"</t>
        </is>
      </c>
      <c r="H49" s="5" t="inlineStr">
        <is>
          <t>-</t>
        </is>
      </c>
      <c r="I49" s="5" t="inlineStr">
        <is>
          <t>แสดง TMP-MTR007 86.5°C และทรัพย์สินนอก Geofence 2 รายการ ตรงกับหน้า IoT/Tracking</t>
        </is>
      </c>
      <c r="J49" s="10" t="inlineStr">
        <is>
          <t>Medium</t>
        </is>
      </c>
      <c r="K49" s="5" t="inlineStr">
        <is>
          <t>ผู้ดูแลระบบสูงสุด (admin)</t>
        </is>
      </c>
      <c r="L49" s="5" t="n"/>
      <c r="M49" s="10" t="inlineStr">
        <is>
          <t>ยังไม่ทดสอบ</t>
        </is>
      </c>
      <c r="N49" s="5" t="n"/>
      <c r="O49" s="18" t="n"/>
      <c r="P49" s="5" t="n"/>
      <c r="Q49" s="5" t="inlineStr">
        <is>
          <t>2f8beddb</t>
        </is>
      </c>
    </row>
    <row r="50" ht="18.5" customHeight="1">
      <c r="A50" s="10" t="inlineStr">
        <is>
          <t>UAT-TV-009</t>
        </is>
      </c>
      <c r="B50" s="5" t="inlineStr">
        <is>
          <t>จอแสดงผล TV</t>
        </is>
      </c>
      <c r="C50" s="5" t="inlineStr">
        <is>
          <t>จอแสดงผล TV</t>
        </is>
      </c>
      <c r="D50" s="5" t="inlineStr">
        <is>
          <t>เลือกไซต์บนจอ TV</t>
        </is>
      </c>
      <c r="E50" s="10" t="inlineStr">
        <is>
          <t>Functional</t>
        </is>
      </c>
      <c r="F50" s="5" t="inlineStr">
        <is>
          <t>เข้าสู่ระบบแล้ว</t>
        </is>
      </c>
      <c r="G50" s="5" t="inlineStr">
        <is>
          <t>1. เปลี่ยนไซต์ใน dropdown</t>
        </is>
      </c>
      <c r="H50" s="5" t="inlineStr">
        <is>
          <t>-</t>
        </is>
      </c>
      <c r="I50" s="5" t="inlineStr">
        <is>
          <t>ข้อมูลทั้งจอเปลี่ยนตามไซต์</t>
        </is>
      </c>
      <c r="J50" s="10" t="inlineStr">
        <is>
          <t>Medium</t>
        </is>
      </c>
      <c r="K50" s="5" t="inlineStr">
        <is>
          <t>ผู้ดูแลระบบสูงสุด (admin)</t>
        </is>
      </c>
      <c r="L50" s="5" t="n"/>
      <c r="M50" s="10" t="inlineStr">
        <is>
          <t>ยังไม่ทดสอบ</t>
        </is>
      </c>
      <c r="N50" s="5" t="n"/>
      <c r="O50" s="18" t="n"/>
      <c r="P50" s="5" t="n"/>
      <c r="Q50" s="5" t="inlineStr">
        <is>
          <t>2f8beddb</t>
        </is>
      </c>
    </row>
    <row r="51" ht="33" customHeight="1">
      <c r="A51" s="10" t="inlineStr">
        <is>
          <t>UAT-TV-010</t>
        </is>
      </c>
      <c r="B51" s="5" t="inlineStr">
        <is>
          <t>จอแสดงผล TV</t>
        </is>
      </c>
      <c r="C51" s="5" t="inlineStr">
        <is>
          <t>จอแสดงผล TV</t>
        </is>
      </c>
      <c r="D51" s="5" t="inlineStr">
        <is>
          <t>แสดงผลบนจอ TV 1920×1080 และ 4K</t>
        </is>
      </c>
      <c r="E51" s="10" t="inlineStr">
        <is>
          <t>Responsive</t>
        </is>
      </c>
      <c r="F51" s="5" t="inlineStr">
        <is>
          <t>จอ 1920×1080 / 3840×2160</t>
        </is>
      </c>
      <c r="G51" s="5" t="inlineStr">
        <is>
          <t>1. เปิดจอ TV เต็มจอ
2. ตรวจการจัดวางทุกส่วน</t>
        </is>
      </c>
      <c r="H51" s="5" t="inlineStr">
        <is>
          <t>-</t>
        </is>
      </c>
      <c r="I51" s="5" t="inlineStr">
        <is>
          <t>ทุกส่วนอยู่ในจอเดียวไม่ต้องเลื่อน; ตัวอักษรไม่แตก/ไม่ถูกตัด</t>
        </is>
      </c>
      <c r="J51" s="10" t="inlineStr">
        <is>
          <t>Medium</t>
        </is>
      </c>
      <c r="K51" s="5" t="inlineStr">
        <is>
          <t>ผู้ดูแลระบบสูงสุด (admin)</t>
        </is>
      </c>
      <c r="L51" s="5" t="n"/>
      <c r="M51" s="10" t="inlineStr">
        <is>
          <t>ยังไม่ทดสอบ</t>
        </is>
      </c>
      <c r="N51" s="5" t="n"/>
      <c r="O51" s="18" t="n"/>
      <c r="P51" s="5" t="n"/>
      <c r="Q51" s="5" t="inlineStr">
        <is>
          <t>2f8beddb</t>
        </is>
      </c>
    </row>
    <row r="52" ht="18.5" customHeight="1">
      <c r="A52" s="10" t="inlineStr">
        <is>
          <t>UAT-TV-011</t>
        </is>
      </c>
      <c r="B52" s="5" t="inlineStr">
        <is>
          <t>จอแสดงผล TV</t>
        </is>
      </c>
      <c r="C52" s="5" t="inlineStr">
        <is>
          <t>จอแสดงผล TV</t>
        </is>
      </c>
      <c r="D52" s="5" t="inlineStr">
        <is>
          <t>Ticker/การเลื่อนรายการอัตโนมัติ</t>
        </is>
      </c>
      <c r="E52" s="10" t="inlineStr">
        <is>
          <t>UI</t>
        </is>
      </c>
      <c r="F52" s="5" t="inlineStr">
        <is>
          <t>มีใบงานมากกว่าที่แสดงได้</t>
        </is>
      </c>
      <c r="G52" s="5" t="inlineStr">
        <is>
          <t>1. ปล่อยหน้าจอทิ้งไว้</t>
        </is>
      </c>
      <c r="H52" s="5" t="inlineStr">
        <is>
          <t>-</t>
        </is>
      </c>
      <c r="I52" s="5" t="inlineStr">
        <is>
          <t>รายการเลื่อนวนอัตโนมัติอย่างนุ่มนวล ไม่กระตุก</t>
        </is>
      </c>
      <c r="J52" s="10" t="inlineStr">
        <is>
          <t>Low</t>
        </is>
      </c>
      <c r="K52" s="5" t="inlineStr">
        <is>
          <t>ผู้ดูแลระบบสูงสุด (admin)</t>
        </is>
      </c>
      <c r="L52" s="5" t="n"/>
      <c r="M52" s="10" t="inlineStr">
        <is>
          <t>ยังไม่ทดสอบ</t>
        </is>
      </c>
      <c r="N52" s="5" t="n"/>
      <c r="O52" s="18" t="n"/>
      <c r="P52" s="5" t="n"/>
      <c r="Q52" s="5" t="inlineStr">
        <is>
          <t>2f8beddb</t>
        </is>
      </c>
    </row>
    <row r="53" ht="18.5" customHeight="1">
      <c r="A53" s="10" t="inlineStr">
        <is>
          <t>UAT-TV-012</t>
        </is>
      </c>
      <c r="B53" s="5" t="inlineStr">
        <is>
          <t>จอแสดงผล TV</t>
        </is>
      </c>
      <c r="C53" s="5" t="inlineStr">
        <is>
          <t>จอแสดงผล TV</t>
        </is>
      </c>
      <c r="D53" s="5" t="inlineStr">
        <is>
          <t>ข้อมูลไม่มีการสร้าง/แก้ไขบนจอ TV</t>
        </is>
      </c>
      <c r="E53" s="10" t="inlineStr">
        <is>
          <t>Permission</t>
        </is>
      </c>
      <c r="F53" s="5" t="inlineStr">
        <is>
          <t>เปิดผ่านลิงก์ kiosk</t>
        </is>
      </c>
      <c r="G53" s="5" t="inlineStr">
        <is>
          <t>1. พยายามคลิกรายการเพื่อแก้ไข</t>
        </is>
      </c>
      <c r="H53" s="5" t="inlineStr">
        <is>
          <t>-</t>
        </is>
      </c>
      <c r="I53" s="5" t="inlineStr">
        <is>
          <t>ไม่มีปุ่มสร้าง/แก้ไข เป็นจออ่านอย่างเดียว</t>
        </is>
      </c>
      <c r="J53" s="10" t="inlineStr">
        <is>
          <t>Medium</t>
        </is>
      </c>
      <c r="K53" s="5" t="inlineStr">
        <is>
          <t>ผู้ดูแลระบบสูงสุด (admin)</t>
        </is>
      </c>
      <c r="L53" s="5" t="n"/>
      <c r="M53" s="10" t="inlineStr">
        <is>
          <t>ยังไม่ทดสอบ</t>
        </is>
      </c>
      <c r="N53" s="5" t="n"/>
      <c r="O53" s="18" t="n"/>
      <c r="P53" s="5" t="n"/>
      <c r="Q53" s="5" t="inlineStr">
        <is>
          <t>2f8beddb</t>
        </is>
      </c>
    </row>
    <row r="54" ht="18.5" customHeight="1">
      <c r="A54" s="10" t="inlineStr">
        <is>
          <t>UAT-CAL-001</t>
        </is>
      </c>
      <c r="B54" s="5" t="inlineStr">
        <is>
          <t>ปฏิทินรวม (Master Calendar)</t>
        </is>
      </c>
      <c r="C54" s="5" t="inlineStr">
        <is>
          <t>ปฏิทินรวม</t>
        </is>
      </c>
      <c r="D54" s="5" t="inlineStr">
        <is>
          <t>แสดงปฏิทินเดือนปัจจุบันแบบ พ.ศ.</t>
        </is>
      </c>
      <c r="E54" s="10" t="inlineStr">
        <is>
          <t>UI</t>
        </is>
      </c>
      <c r="F54" s="5" t="inlineStr">
        <is>
          <t>เข้าสู่ระบบแล้ว</t>
        </is>
      </c>
      <c r="G54" s="5" t="inlineStr">
        <is>
          <t>1. เปิดหน้าปฏิทินรวม</t>
        </is>
      </c>
      <c r="H54" s="5" t="inlineStr">
        <is>
          <t>-</t>
        </is>
      </c>
      <c r="I54" s="5" t="inlineStr">
        <is>
          <t>หัวปฏิทินแสดง "ตุลาคม 2569"; สัปดาห์เริ่มวันอาทิตย์; วันนี้ถูกไฮไลต์</t>
        </is>
      </c>
      <c r="J54" s="10" t="inlineStr">
        <is>
          <t>Medium</t>
        </is>
      </c>
      <c r="K54" s="5" t="inlineStr">
        <is>
          <t>ผู้ดูแลระบบสูงสุด (admin)</t>
        </is>
      </c>
      <c r="L54" s="5" t="n"/>
      <c r="M54" s="10" t="inlineStr">
        <is>
          <t>ยังไม่ทดสอบ</t>
        </is>
      </c>
      <c r="N54" s="5" t="n"/>
      <c r="O54" s="18" t="n"/>
      <c r="P54" s="5" t="n"/>
      <c r="Q54" s="5" t="inlineStr">
        <is>
          <t>f7099461</t>
        </is>
      </c>
    </row>
    <row r="55" ht="47.5" customHeight="1">
      <c r="A55" s="10" t="inlineStr">
        <is>
          <t>UAT-CAL-002</t>
        </is>
      </c>
      <c r="B55" s="5" t="inlineStr">
        <is>
          <t>ปฏิทินรวม (Master Calendar)</t>
        </is>
      </c>
      <c r="C55" s="5" t="inlineStr">
        <is>
          <t>ปฏิทินรวม</t>
        </is>
      </c>
      <c r="D55" s="5" t="inlineStr">
        <is>
          <t>เลื่อนเดือนก่อน/ถัดไป/วันนี้</t>
        </is>
      </c>
      <c r="E55" s="10" t="inlineStr">
        <is>
          <t>Functional</t>
        </is>
      </c>
      <c r="F55" s="5" t="inlineStr">
        <is>
          <t>เข้าสู่ระบบแล้ว</t>
        </is>
      </c>
      <c r="G55" s="5" t="inlineStr">
        <is>
          <t>1. คลิก "‹ เดือนก่อน"
2. คลิก "เดือนถัดไป ›" 2 ครั้ง
3. คลิก "วันนี้"</t>
        </is>
      </c>
      <c r="H55" s="5" t="inlineStr">
        <is>
          <t>-</t>
        </is>
      </c>
      <c r="I55" s="5" t="inlineStr">
        <is>
          <t>หัวเปลี่ยนเป็น กันยายน 2569 → พฤศจิกายน 2569 → กลับ ตุลาคม 2569; เหตุการณ์โหลดตามเดือน</t>
        </is>
      </c>
      <c r="J55" s="10" t="inlineStr">
        <is>
          <t>Medium</t>
        </is>
      </c>
      <c r="K55" s="5" t="inlineStr">
        <is>
          <t>ผู้ดูแลระบบสูงสุด (admin)</t>
        </is>
      </c>
      <c r="L55" s="5" t="n"/>
      <c r="M55" s="10" t="inlineStr">
        <is>
          <t>ยังไม่ทดสอบ</t>
        </is>
      </c>
      <c r="N55" s="5" t="n"/>
      <c r="O55" s="18" t="n"/>
      <c r="P55" s="5" t="n"/>
      <c r="Q55" s="5" t="inlineStr">
        <is>
          <t>f7099461</t>
        </is>
      </c>
    </row>
    <row r="56" ht="47.5" customHeight="1">
      <c r="A56" s="10" t="inlineStr">
        <is>
          <t>UAT-CAL-003</t>
        </is>
      </c>
      <c r="B56" s="5" t="inlineStr">
        <is>
          <t>ปฏิทินรวม (Master Calendar)</t>
        </is>
      </c>
      <c r="C56" s="5" t="inlineStr">
        <is>
          <t>ปฏิทินรวม</t>
        </is>
      </c>
      <c r="D56" s="5" t="inlineStr">
        <is>
          <t>สลับมุมมอง เดือน/สัปดาห์/รายการ</t>
        </is>
      </c>
      <c r="E56" s="10" t="inlineStr">
        <is>
          <t>Functional</t>
        </is>
      </c>
      <c r="F56" s="5" t="inlineStr">
        <is>
          <t>เข้าสู่ระบบแล้ว</t>
        </is>
      </c>
      <c r="G56" s="5" t="inlineStr">
        <is>
          <t>1. คลิก "สัปดาห์"
2. คลิก "รายการ"
3. คลิก "เดือน"</t>
        </is>
      </c>
      <c r="H56" s="5" t="inlineStr">
        <is>
          <t>-</t>
        </is>
      </c>
      <c r="I56" s="5" t="inlineStr">
        <is>
          <t>มุมมองเปลี่ยนถูกต้อง; มุมมองรายการแสดงเหตุการณ์เรียงตามวันที่</t>
        </is>
      </c>
      <c r="J56" s="10" t="inlineStr">
        <is>
          <t>Medium</t>
        </is>
      </c>
      <c r="K56" s="5" t="inlineStr">
        <is>
          <t>ผู้ดูแลระบบสูงสุด (admin)</t>
        </is>
      </c>
      <c r="L56" s="5" t="n"/>
      <c r="M56" s="10" t="inlineStr">
        <is>
          <t>ยังไม่ทดสอบ</t>
        </is>
      </c>
      <c r="N56" s="5" t="n"/>
      <c r="O56" s="18" t="n"/>
      <c r="P56" s="5" t="n"/>
      <c r="Q56" s="5" t="inlineStr">
        <is>
          <t>f7099461</t>
        </is>
      </c>
    </row>
    <row r="57" ht="33" customHeight="1">
      <c r="A57" s="10" t="inlineStr">
        <is>
          <t>UAT-CAL-004</t>
        </is>
      </c>
      <c r="B57" s="5" t="inlineStr">
        <is>
          <t>ปฏิทินรวม (Master Calendar)</t>
        </is>
      </c>
      <c r="C57" s="5" t="inlineStr">
        <is>
          <t>ปฏิทินรวม</t>
        </is>
      </c>
      <c r="D57" s="5" t="inlineStr">
        <is>
          <t>กรองประเภทเหตุการณ์ด้วย chip</t>
        </is>
      </c>
      <c r="E57" s="10" t="inlineStr">
        <is>
          <t>Functional</t>
        </is>
      </c>
      <c r="F57" s="5" t="inlineStr">
        <is>
          <t>เข้าสู่ระบบแล้ว</t>
        </is>
      </c>
      <c r="G57" s="5" t="inlineStr">
        <is>
          <t>1. ยกเลิกเลือก chip "ใบงานครบกำหนด SLA"
2. เลือกเฉพาะ "ไลเซนส์หมดอายุ"</t>
        </is>
      </c>
      <c r="H57" s="5" t="inlineStr">
        <is>
          <t>-</t>
        </is>
      </c>
      <c r="I57" s="5" t="inlineStr">
        <is>
          <t>เหตุการณ์ประเภทที่ยกเลิกหายจากปฏิทิน; ตัวเลขจำนวนบน chip ถูกต้อง (เช่น ไลเซนส์หมดอายุ 3)</t>
        </is>
      </c>
      <c r="J57" s="10" t="inlineStr">
        <is>
          <t>Medium</t>
        </is>
      </c>
      <c r="K57" s="5" t="inlineStr">
        <is>
          <t>ผู้ดูแลระบบสูงสุด (admin)</t>
        </is>
      </c>
      <c r="L57" s="5" t="n"/>
      <c r="M57" s="10" t="inlineStr">
        <is>
          <t>ยังไม่ทดสอบ</t>
        </is>
      </c>
      <c r="N57" s="5" t="n"/>
      <c r="O57" s="18" t="n"/>
      <c r="P57" s="5" t="n"/>
      <c r="Q57" s="5" t="inlineStr">
        <is>
          <t>f7099461</t>
        </is>
      </c>
    </row>
    <row r="58" ht="33" customHeight="1">
      <c r="A58" s="10" t="inlineStr">
        <is>
          <t>UAT-CAL-005</t>
        </is>
      </c>
      <c r="B58" s="5" t="inlineStr">
        <is>
          <t>ปฏิทินรวม (Master Calendar)</t>
        </is>
      </c>
      <c r="C58" s="5" t="inlineStr">
        <is>
          <t>ปฏิทินรวม</t>
        </is>
      </c>
      <c r="D58" s="5" t="inlineStr">
        <is>
          <t>คลิกเหตุการณ์เพื่อดูรายละเอียด</t>
        </is>
      </c>
      <c r="E58" s="10" t="inlineStr">
        <is>
          <t>Functional</t>
        </is>
      </c>
      <c r="F58" s="5" t="inlineStr">
        <is>
          <t>มีเหตุการณ์ในเดือน</t>
        </is>
      </c>
      <c r="G58" s="5" t="inlineStr">
        <is>
          <t>1. คลิกแถบ "GAU-011 สอบเทียบครบกำหนด"
2. คลิกลิงก์ไปยังรายการต้นทาง</t>
        </is>
      </c>
      <c r="H58" s="5" t="inlineStr">
        <is>
          <t>-</t>
        </is>
      </c>
      <c r="I58" s="5" t="inlineStr">
        <is>
          <t>Popover แสดงประเภท วันที่ พ.ศ. รายละเอียด; ลิงก์ไปหน้าสอบเทียบ</t>
        </is>
      </c>
      <c r="J58" s="10" t="inlineStr">
        <is>
          <t>Medium</t>
        </is>
      </c>
      <c r="K58" s="5" t="inlineStr">
        <is>
          <t>ผู้ดูแลระบบสูงสุด (admin)</t>
        </is>
      </c>
      <c r="L58" s="5" t="n"/>
      <c r="M58" s="10" t="inlineStr">
        <is>
          <t>ยังไม่ทดสอบ</t>
        </is>
      </c>
      <c r="N58" s="5" t="n"/>
      <c r="O58" s="18" t="n"/>
      <c r="P58" s="5" t="n"/>
      <c r="Q58" s="5" t="inlineStr">
        <is>
          <t>f7099461</t>
        </is>
      </c>
    </row>
    <row r="59" ht="18.5" customHeight="1">
      <c r="A59" s="10" t="inlineStr">
        <is>
          <t>UAT-CAL-006</t>
        </is>
      </c>
      <c r="B59" s="5" t="inlineStr">
        <is>
          <t>ปฏิทินรวม (Master Calendar)</t>
        </is>
      </c>
      <c r="C59" s="5" t="inlineStr">
        <is>
          <t>ปฏิทินรวม</t>
        </is>
      </c>
      <c r="D59" s="5" t="inlineStr">
        <is>
          <t>คลิกวันที่มีหลายเหตุการณ์ (+ เพิ่มเติม)</t>
        </is>
      </c>
      <c r="E59" s="10" t="inlineStr">
        <is>
          <t>UI</t>
        </is>
      </c>
      <c r="F59" s="5" t="inlineStr">
        <is>
          <t>วันหนึ่งมีเหตุการณ์มากกว่าที่แสดงได้</t>
        </is>
      </c>
      <c r="G59" s="5" t="inlineStr">
        <is>
          <t>1. คลิก "+n เพิ่มเติม"</t>
        </is>
      </c>
      <c r="H59" s="5" t="inlineStr">
        <is>
          <t>-</t>
        </is>
      </c>
      <c r="I59" s="5" t="inlineStr">
        <is>
          <t>แสดงรายการทั้งหมดของวันนั้นพร้อมจำนวน</t>
        </is>
      </c>
      <c r="J59" s="10" t="inlineStr">
        <is>
          <t>Low</t>
        </is>
      </c>
      <c r="K59" s="5" t="inlineStr">
        <is>
          <t>ผู้ดูแลระบบสูงสุด (admin)</t>
        </is>
      </c>
      <c r="L59" s="5" t="n"/>
      <c r="M59" s="10" t="inlineStr">
        <is>
          <t>ยังไม่ทดสอบ</t>
        </is>
      </c>
      <c r="N59" s="5" t="n"/>
      <c r="O59" s="18" t="n"/>
      <c r="P59" s="5" t="n"/>
      <c r="Q59" s="5" t="inlineStr">
        <is>
          <t>f7099461</t>
        </is>
      </c>
    </row>
    <row r="60" ht="47.5" customHeight="1">
      <c r="A60" s="10" t="inlineStr">
        <is>
          <t>UAT-CAL-007</t>
        </is>
      </c>
      <c r="B60" s="5" t="inlineStr">
        <is>
          <t>ปฏิทินรวม (Master Calendar)</t>
        </is>
      </c>
      <c r="C60" s="5" t="inlineStr">
        <is>
          <t>ปฏิทินรวม</t>
        </is>
      </c>
      <c r="D60" s="5" t="inlineStr">
        <is>
          <t>เพิ่มวันหยุด</t>
        </is>
      </c>
      <c r="E60" s="10" t="inlineStr">
        <is>
          <t>Functional</t>
        </is>
      </c>
      <c r="F60" s="5" t="inlineStr">
        <is>
          <t>มีสิทธิ์จัดการข้อมูลหลัก</t>
        </is>
      </c>
      <c r="G60" s="5" t="inlineStr">
        <is>
          <t>1. คลิก "+ วันหยุด"
2. กรอกชื่อวันหยุด วันที่ และไซต์
3. กดบันทึก</t>
        </is>
      </c>
      <c r="H60" s="5" t="inlineStr">
        <is>
          <t>ชื่อ: วันหยุดชดเชย; วันที่: 26/10/2569; ไซต์: ทุกไซต์</t>
        </is>
      </c>
      <c r="I60" s="5" t="inlineStr">
        <is>
          <t>แสดง toast "เพิ่มวันหยุด … แล้ว"; วันหยุดปรากฏในปฏิทิน; SLA ไม่นับวันหยุดนี้</t>
        </is>
      </c>
      <c r="J60" s="10" t="inlineStr">
        <is>
          <t>Medium</t>
        </is>
      </c>
      <c r="K60" s="5" t="inlineStr">
        <is>
          <t>ผู้ดูแลระบบสูงสุด (admin)</t>
        </is>
      </c>
      <c r="L60" s="5" t="n"/>
      <c r="M60" s="10" t="inlineStr">
        <is>
          <t>ยังไม่ทดสอบ</t>
        </is>
      </c>
      <c r="N60" s="5" t="n"/>
      <c r="O60" s="18" t="n"/>
      <c r="P60" s="5" t="n"/>
      <c r="Q60" s="5" t="inlineStr">
        <is>
          <t>f7099461</t>
        </is>
      </c>
    </row>
    <row r="61" ht="33" customHeight="1">
      <c r="A61" s="10" t="inlineStr">
        <is>
          <t>UAT-CAL-008</t>
        </is>
      </c>
      <c r="B61" s="5" t="inlineStr">
        <is>
          <t>ปฏิทินรวม (Master Calendar)</t>
        </is>
      </c>
      <c r="C61" s="5" t="inlineStr">
        <is>
          <t>ปฏิทินรวม</t>
        </is>
      </c>
      <c r="D61" s="5" t="inlineStr">
        <is>
          <t>เพิ่มวันหยุดโดยไม่กรอกข้อมูลบังคับ</t>
        </is>
      </c>
      <c r="E61" s="10" t="inlineStr">
        <is>
          <t>Validation</t>
        </is>
      </c>
      <c r="F61" s="5" t="inlineStr">
        <is>
          <t>เปิดฟอร์มเพิ่มวันหยุด</t>
        </is>
      </c>
      <c r="G61" s="5" t="inlineStr">
        <is>
          <t>1. เว้นว่างชื่อวันหยุดหรือวันที่
2. กดบันทึก</t>
        </is>
      </c>
      <c r="H61" s="5" t="inlineStr">
        <is>
          <t>-</t>
        </is>
      </c>
      <c r="I61" s="5" t="inlineStr">
        <is>
          <t>ไม่บันทึก แสดงข้อความแจ้งให้กรอกฟิลด์บังคับ</t>
        </is>
      </c>
      <c r="J61" s="10" t="inlineStr">
        <is>
          <t>Medium</t>
        </is>
      </c>
      <c r="K61" s="5" t="inlineStr">
        <is>
          <t>ผู้ดูแลระบบสูงสุด (admin)</t>
        </is>
      </c>
      <c r="L61" s="5" t="n"/>
      <c r="M61" s="10" t="inlineStr">
        <is>
          <t>ยังไม่ทดสอบ</t>
        </is>
      </c>
      <c r="N61" s="5" t="n"/>
      <c r="O61" s="18" t="n"/>
      <c r="P61" s="5" t="n"/>
      <c r="Q61" s="5" t="inlineStr">
        <is>
          <t>f7099461</t>
        </is>
      </c>
    </row>
    <row r="62" ht="47.5" customHeight="1">
      <c r="A62" s="10" t="inlineStr">
        <is>
          <t>UAT-CAL-009</t>
        </is>
      </c>
      <c r="B62" s="5" t="inlineStr">
        <is>
          <t>ปฏิทินรวม (Master Calendar)</t>
        </is>
      </c>
      <c r="C62" s="5" t="inlineStr">
        <is>
          <t>ปฏิทินรวม</t>
        </is>
      </c>
      <c r="D62" s="5" t="inlineStr">
        <is>
          <t>ส่งออก .ics</t>
        </is>
      </c>
      <c r="E62" s="10" t="inlineStr">
        <is>
          <t>Functional</t>
        </is>
      </c>
      <c r="F62" s="5" t="inlineStr">
        <is>
          <t>เข้าสู่ระบบแล้ว</t>
        </is>
      </c>
      <c r="G62" s="5" t="inlineStr">
        <is>
          <t>1. กรอง chip ที่ต้องการ
2. คลิก "ส่งออก .ics"
3. นำเข้าไฟล์ใน Google/Outlook Calendar</t>
        </is>
      </c>
      <c r="H62" s="5" t="inlineStr">
        <is>
          <t>-</t>
        </is>
      </c>
      <c r="I62" s="5" t="inlineStr">
        <is>
          <t>ดาวน์โหลดไฟล์ .ics จำนวนรายการตรงกับที่กรอง (toast "ส่งออก n รายการ"); นำเข้าได้ถูกวันเวลา</t>
        </is>
      </c>
      <c r="J62" s="10" t="inlineStr">
        <is>
          <t>Low</t>
        </is>
      </c>
      <c r="K62" s="5" t="inlineStr">
        <is>
          <t>ผู้ดูแลระบบสูงสุด (admin)</t>
        </is>
      </c>
      <c r="L62" s="5" t="n"/>
      <c r="M62" s="10" t="inlineStr">
        <is>
          <t>ยังไม่ทดสอบ</t>
        </is>
      </c>
      <c r="N62" s="5" t="n"/>
      <c r="O62" s="18" t="n"/>
      <c r="P62" s="5" t="n"/>
      <c r="Q62" s="5" t="inlineStr">
        <is>
          <t>f7099461</t>
        </is>
      </c>
    </row>
    <row r="63" ht="18.5" customHeight="1">
      <c r="A63" s="10" t="inlineStr">
        <is>
          <t>UAT-CAL-010</t>
        </is>
      </c>
      <c r="B63" s="5" t="inlineStr">
        <is>
          <t>ปฏิทินรวม (Master Calendar)</t>
        </is>
      </c>
      <c r="C63" s="5" t="inlineStr">
        <is>
          <t>ปฏิทินรวม</t>
        </is>
      </c>
      <c r="D63" s="5" t="inlineStr">
        <is>
          <t>ตัวกรองไซต์ในปฏิทิน</t>
        </is>
      </c>
      <c r="E63" s="10" t="inlineStr">
        <is>
          <t>Functional</t>
        </is>
      </c>
      <c r="F63" s="5" t="inlineStr">
        <is>
          <t>เข้าสู่ระบบแล้ว</t>
        </is>
      </c>
      <c r="G63" s="5" t="inlineStr">
        <is>
          <t>1. เลือกไซต์ "โรงงานระยอง"</t>
        </is>
      </c>
      <c r="H63" s="5" t="inlineStr">
        <is>
          <t>-</t>
        </is>
      </c>
      <c r="I63" s="5" t="inlineStr">
        <is>
          <t>แสดงเฉพาะเหตุการณ์ของไซต์ระยอง และวันหยุดของทุกไซต์</t>
        </is>
      </c>
      <c r="J63" s="10" t="inlineStr">
        <is>
          <t>Medium</t>
        </is>
      </c>
      <c r="K63" s="5" t="inlineStr">
        <is>
          <t>ผู้ดูแลระบบสูงสุด (admin)</t>
        </is>
      </c>
      <c r="L63" s="5" t="n"/>
      <c r="M63" s="10" t="inlineStr">
        <is>
          <t>ยังไม่ทดสอบ</t>
        </is>
      </c>
      <c r="N63" s="5" t="n"/>
      <c r="O63" s="18" t="n"/>
      <c r="P63" s="5" t="n"/>
      <c r="Q63" s="5" t="inlineStr">
        <is>
          <t>f7099461</t>
        </is>
      </c>
    </row>
    <row r="64" ht="18.5" customHeight="1">
      <c r="A64" s="10" t="inlineStr">
        <is>
          <t>UAT-CAL-011</t>
        </is>
      </c>
      <c r="B64" s="5" t="inlineStr">
        <is>
          <t>ปฏิทินรวม (Master Calendar)</t>
        </is>
      </c>
      <c r="C64" s="5" t="inlineStr">
        <is>
          <t>ปฏิทินรวม</t>
        </is>
      </c>
      <c r="D64" s="5" t="inlineStr">
        <is>
          <t>แผง "7 วันข้างหน้า"</t>
        </is>
      </c>
      <c r="E64" s="10" t="inlineStr">
        <is>
          <t>UI</t>
        </is>
      </c>
      <c r="F64" s="5" t="inlineStr">
        <is>
          <t>เข้าสู่ระบบแล้ว</t>
        </is>
      </c>
      <c r="G64" s="5" t="inlineStr">
        <is>
          <t>1. ตรวจแผงสรุป 7 วันข้างหน้า</t>
        </is>
      </c>
      <c r="H64" s="5" t="inlineStr">
        <is>
          <t>-</t>
        </is>
      </c>
      <c r="I64" s="5" t="inlineStr">
        <is>
          <t>แสดงช่วงวันที่ พ.ศ. ถูกต้อง และรายการ "วันนี้ · / พรุ่งนี้ ·"</t>
        </is>
      </c>
      <c r="J64" s="10" t="inlineStr">
        <is>
          <t>Low</t>
        </is>
      </c>
      <c r="K64" s="5" t="inlineStr">
        <is>
          <t>ผู้ดูแลระบบสูงสุด (admin)</t>
        </is>
      </c>
      <c r="L64" s="5" t="n"/>
      <c r="M64" s="10" t="inlineStr">
        <is>
          <t>ยังไม่ทดสอบ</t>
        </is>
      </c>
      <c r="N64" s="5" t="n"/>
      <c r="O64" s="18" t="n"/>
      <c r="P64" s="5" t="n"/>
      <c r="Q64" s="5" t="inlineStr">
        <is>
          <t>f7099461</t>
        </is>
      </c>
    </row>
    <row r="65" ht="18.5" customHeight="1">
      <c r="A65" s="10" t="inlineStr">
        <is>
          <t>UAT-CAL-012</t>
        </is>
      </c>
      <c r="B65" s="5" t="inlineStr">
        <is>
          <t>ปฏิทินรวม (Master Calendar)</t>
        </is>
      </c>
      <c r="C65" s="5" t="inlineStr">
        <is>
          <t>ปฏิทินรวม</t>
        </is>
      </c>
      <c r="D65" s="5" t="inlineStr">
        <is>
          <t>ช่างเห็นเฉพาะเหตุการณ์ในขอบเขต</t>
        </is>
      </c>
      <c r="E65" s="10" t="inlineStr">
        <is>
          <t>Permission</t>
        </is>
      </c>
      <c r="F65" s="5" t="inlineStr">
        <is>
          <t>ล็อกอินเป็นช่าง (ขอบเขต: ไซต์ของตน)</t>
        </is>
      </c>
      <c r="G65" s="5" t="inlineStr">
        <is>
          <t>1. เปิดปฏิทินรวม</t>
        </is>
      </c>
      <c r="H65" s="5" t="inlineStr">
        <is>
          <t>-</t>
        </is>
      </c>
      <c r="I65" s="5" t="inlineStr">
        <is>
          <t>แสดงเฉพาะเหตุการณ์ของไซต์ตน; ไม่มีปุ่ม "+ วันหยุด"</t>
        </is>
      </c>
      <c r="J65" s="10" t="inlineStr">
        <is>
          <t>Medium</t>
        </is>
      </c>
      <c r="K65" s="5" t="inlineStr">
        <is>
          <t>ช่างซ่อมบำรุง (somchai)</t>
        </is>
      </c>
      <c r="L65" s="5" t="n"/>
      <c r="M65" s="10" t="inlineStr">
        <is>
          <t>ยังไม่ทดสอบ</t>
        </is>
      </c>
      <c r="N65" s="5" t="n"/>
      <c r="O65" s="18" t="n"/>
      <c r="P65" s="5" t="n"/>
      <c r="Q65" s="5" t="inlineStr">
        <is>
          <t>f7099461</t>
        </is>
      </c>
    </row>
    <row r="66" ht="33" customHeight="1">
      <c r="A66" s="10" t="inlineStr">
        <is>
          <t>UAT-CAL-013</t>
        </is>
      </c>
      <c r="B66" s="5" t="inlineStr">
        <is>
          <t>ปฏิทินรวม (Master Calendar)</t>
        </is>
      </c>
      <c r="C66" s="5" t="inlineStr">
        <is>
          <t>ปฏิทินรวม</t>
        </is>
      </c>
      <c r="D66" s="5" t="inlineStr">
        <is>
          <t>ค้นหาไม่พบข้อมูล (ปฏิทินรวม)</t>
        </is>
      </c>
      <c r="E66" s="10" t="inlineStr">
        <is>
          <t>Negative</t>
        </is>
      </c>
      <c r="F66" s="5" t="inlineStr">
        <is>
          <t>เข้าสู่ระบบแล้ว และอยู่ที่หน้าปฏิทินรวม</t>
        </is>
      </c>
      <c r="G66" s="5" t="inlineStr">
        <is>
          <t>1. พิมพ์คำค้นที่ไม่มีอยู่จริงในช่อง "ค้นหาทรัพย์สิน ใบงาน เหตุการณ์…"
2. สังเกตตาราง/รายการ</t>
        </is>
      </c>
      <c r="H66" s="5" t="inlineStr">
        <is>
          <t>คำค้น: ZZZ-NOTFOUND-999</t>
        </is>
      </c>
      <c r="I66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66" s="10" t="inlineStr">
        <is>
          <t>Low</t>
        </is>
      </c>
      <c r="K66" s="5" t="inlineStr">
        <is>
          <t>ผู้ดูแลระบบสูงสุด (admin)</t>
        </is>
      </c>
      <c r="L66" s="5" t="n"/>
      <c r="M66" s="10" t="inlineStr">
        <is>
          <t>ยังไม่ทดสอบ</t>
        </is>
      </c>
      <c r="N66" s="5" t="n"/>
      <c r="O66" s="18" t="n"/>
      <c r="P66" s="5" t="n"/>
      <c r="Q66" s="5" t="inlineStr">
        <is>
          <t>f7099461</t>
        </is>
      </c>
    </row>
    <row r="67" ht="47.5" customHeight="1">
      <c r="A67" s="10" t="inlineStr">
        <is>
          <t>UAT-CAL-014</t>
        </is>
      </c>
      <c r="B67" s="5" t="inlineStr">
        <is>
          <t>ปฏิทินรวม (Master Calendar)</t>
        </is>
      </c>
      <c r="C67" s="5" t="inlineStr">
        <is>
          <t>ปฏิทินรวม</t>
        </is>
      </c>
      <c r="D67" s="5" t="inlineStr">
        <is>
          <t>ค้นหาด้วยคำค้นที่มีอยู่จริง (ปฏิทินรวม)</t>
        </is>
      </c>
      <c r="E67" s="10" t="inlineStr">
        <is>
          <t>Functional</t>
        </is>
      </c>
      <c r="F67" s="5" t="inlineStr">
        <is>
          <t>เข้าสู่ระบบแล้ว และอยู่ที่หน้าปฏิทินรวม</t>
        </is>
      </c>
      <c r="G67" s="5" t="inlineStr">
        <is>
          <t>1. พิมพ์คำค้นในช่อง "ค้นหาทรัพย์สิน ใบงาน เหตุการณ์…"
2. ตรวจรายการที่แสดง
3. ล้างคำค้น</t>
        </is>
      </c>
      <c r="H67" s="5" t="inlineStr">
        <is>
          <t>คำค้น: FortiCare</t>
        </is>
      </c>
      <c r="I67" s="5" t="inlineStr">
        <is>
          <t>แสดงเฉพาะรายการที่ตรงกับคำค้น (เหตุการณ์ FortiCare FW-001 หมดอายุ); เมื่อล้างคำค้นรายการกลับมาครบ</t>
        </is>
      </c>
      <c r="J67" s="10" t="inlineStr">
        <is>
          <t>Medium</t>
        </is>
      </c>
      <c r="K67" s="5" t="inlineStr">
        <is>
          <t>ผู้ดูแลระบบสูงสุด (admin)</t>
        </is>
      </c>
      <c r="L67" s="5" t="n"/>
      <c r="M67" s="10" t="inlineStr">
        <is>
          <t>ยังไม่ทดสอบ</t>
        </is>
      </c>
      <c r="N67" s="5" t="n"/>
      <c r="O67" s="18" t="n"/>
      <c r="P67" s="5" t="n"/>
      <c r="Q67" s="5" t="inlineStr">
        <is>
          <t>f7099461</t>
        </is>
      </c>
    </row>
    <row r="68" ht="62" customHeight="1">
      <c r="A68" s="10" t="inlineStr">
        <is>
          <t>UAT-CAL-015</t>
        </is>
      </c>
      <c r="B68" s="5" t="inlineStr">
        <is>
          <t>ปฏิทินรวม (Master Calendar)</t>
        </is>
      </c>
      <c r="C68" s="5" t="inlineStr">
        <is>
          <t>ปฏิทินรวม</t>
        </is>
      </c>
      <c r="D68" s="5" t="inlineStr">
        <is>
          <t>แสดงผลบนมือถือ 375px (ปฏิทินรวม)</t>
        </is>
      </c>
      <c r="E68" s="10" t="inlineStr">
        <is>
          <t>Responsive</t>
        </is>
      </c>
      <c r="F68" s="5" t="inlineStr">
        <is>
          <t>เข้าสู่ระบบแล้ว; เปิด DevTools โหมดอุปกรณ์ iPhone SE/375×667</t>
        </is>
      </c>
      <c r="G68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68" s="5" t="inlineStr">
        <is>
          <t>ความกว้าง 375px</t>
        </is>
      </c>
      <c r="I68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68" s="10" t="inlineStr">
        <is>
          <t>Medium</t>
        </is>
      </c>
      <c r="K68" s="5" t="inlineStr">
        <is>
          <t>ผู้ดูแลระบบสูงสุด (admin)</t>
        </is>
      </c>
      <c r="L68" s="5" t="n"/>
      <c r="M68" s="10" t="inlineStr">
        <is>
          <t>ยังไม่ทดสอบ</t>
        </is>
      </c>
      <c r="N68" s="5" t="n"/>
      <c r="O68" s="18" t="n"/>
      <c r="P68" s="5" t="n"/>
      <c r="Q68" s="5" t="inlineStr">
        <is>
          <t>f7099461</t>
        </is>
      </c>
    </row>
    <row r="69" ht="62" customHeight="1">
      <c r="A69" s="10" t="inlineStr">
        <is>
          <t>UAT-CAL-016</t>
        </is>
      </c>
      <c r="B69" s="5" t="inlineStr">
        <is>
          <t>ปฏิทินรวม (Master Calendar)</t>
        </is>
      </c>
      <c r="C69" s="5" t="inlineStr">
        <is>
          <t>ปฏิทินรวม</t>
        </is>
      </c>
      <c r="D69" s="5" t="inlineStr">
        <is>
          <t>แสดงผลบน Desktop 1920px และความอ่านง่ายธีมมืด (ปฏิทินรวม)</t>
        </is>
      </c>
      <c r="E69" s="10" t="inlineStr">
        <is>
          <t>UI</t>
        </is>
      </c>
      <c r="F69" s="5" t="inlineStr">
        <is>
          <t>เข้าสู่ระบบแล้ว; หน้าจอ 1920×1080</t>
        </is>
      </c>
      <c r="G69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69" s="5" t="inlineStr">
        <is>
          <t>ความกว้าง 1920px</t>
        </is>
      </c>
      <c r="I69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69" s="10" t="inlineStr">
        <is>
          <t>Low</t>
        </is>
      </c>
      <c r="K69" s="5" t="inlineStr">
        <is>
          <t>ผู้ดูแลระบบสูงสุด (admin)</t>
        </is>
      </c>
      <c r="L69" s="5" t="n"/>
      <c r="M69" s="10" t="inlineStr">
        <is>
          <t>ยังไม่ทดสอบ</t>
        </is>
      </c>
      <c r="N69" s="5" t="n"/>
      <c r="O69" s="18" t="n"/>
      <c r="P69" s="5" t="n"/>
      <c r="Q69" s="5" t="inlineStr">
        <is>
          <t>f7099461</t>
        </is>
      </c>
    </row>
    <row r="70" ht="47.5" customHeight="1">
      <c r="A70" s="10" t="inlineStr">
        <is>
          <t>UAT-AST-001</t>
        </is>
      </c>
      <c r="B70" s="5" t="inlineStr">
        <is>
          <t>ทะเบียนทรัพย์สินกลาง</t>
        </is>
      </c>
      <c r="C70" s="5" t="inlineStr">
        <is>
          <t>ทะเบียนทรัพย์สินกลาง</t>
        </is>
      </c>
      <c r="D70" s="5" t="inlineStr">
        <is>
          <t>แสดงรายการและ KPI ทะเบียน</t>
        </is>
      </c>
      <c r="E70" s="10" t="inlineStr">
        <is>
          <t>UI</t>
        </is>
      </c>
      <c r="F70" s="5" t="inlineStr">
        <is>
          <t>เข้าสู่ระบบแล้ว</t>
        </is>
      </c>
      <c r="G70" s="5" t="inlineStr">
        <is>
          <t>1. เปิดหน้าทะเบียนทรัพย์สินกลาง</t>
        </is>
      </c>
      <c r="H70" s="5" t="inlineStr">
        <is>
          <t>-</t>
        </is>
      </c>
      <c r="I70" s="5" t="inlineStr">
        <is>
          <t>แสดง KPI ทรัพย์สินทั้งหมด, ซ่อม/หยุด, ราคาทุนรวม (ลบ.), Health เฉลี่ย; ตารางคอลัมน์ Asset Tag/ชื่อ, หมวด, ที่ตั้ง/ผู้รับผิดชอบ, ราคาทุน, NBV, Health, สถานะ</t>
        </is>
      </c>
      <c r="J70" s="10" t="inlineStr">
        <is>
          <t>Medium</t>
        </is>
      </c>
      <c r="K70" s="5" t="inlineStr">
        <is>
          <t>ผู้จัดการทรัพย์สิน (asset.mgr)</t>
        </is>
      </c>
      <c r="L70" s="5" t="n"/>
      <c r="M70" s="10" t="inlineStr">
        <is>
          <t>ยังไม่ทดสอบ</t>
        </is>
      </c>
      <c r="N70" s="5" t="n"/>
      <c r="O70" s="18" t="n"/>
      <c r="P70" s="5" t="n"/>
      <c r="Q70" s="5" t="inlineStr">
        <is>
          <t>6bf7b7fb</t>
        </is>
      </c>
    </row>
    <row r="71" ht="33" customHeight="1">
      <c r="A71" s="10" t="inlineStr">
        <is>
          <t>UAT-AST-002</t>
        </is>
      </c>
      <c r="B71" s="5" t="inlineStr">
        <is>
          <t>ทะเบียนทรัพย์สินกลาง</t>
        </is>
      </c>
      <c r="C71" s="5" t="inlineStr">
        <is>
          <t>ทะเบียนทรัพย์สินกลาง</t>
        </is>
      </c>
      <c r="D71" s="5" t="inlineStr">
        <is>
          <t>กรองตามแท็บหมวด</t>
        </is>
      </c>
      <c r="E71" s="10" t="inlineStr">
        <is>
          <t>Functional</t>
        </is>
      </c>
      <c r="F71" s="5" t="inlineStr">
        <is>
          <t>เข้าสู่ระบบแล้ว</t>
        </is>
      </c>
      <c r="G71" s="5" t="inlineStr">
        <is>
          <t>1. คลิกแท็บ "IT &amp; เครือข่าย"
2. คลิกแท็บ "ทั้งหมด"</t>
        </is>
      </c>
      <c r="H71" s="5" t="inlineStr">
        <is>
          <t>-</t>
        </is>
      </c>
      <c r="I71" s="5" t="inlineStr">
        <is>
          <t>แสดงเฉพาะทรัพย์สินหมวด IT; ตัวนับ "แสดง n จาก N รายการ" และยอดรวมราคาทุน/NBV คำนวณใหม่</t>
        </is>
      </c>
      <c r="J71" s="10" t="inlineStr">
        <is>
          <t>Medium</t>
        </is>
      </c>
      <c r="K71" s="5" t="inlineStr">
        <is>
          <t>ผู้จัดการทรัพย์สิน (asset.mgr)</t>
        </is>
      </c>
      <c r="L71" s="5" t="n"/>
      <c r="M71" s="10" t="inlineStr">
        <is>
          <t>ยังไม่ทดสอบ</t>
        </is>
      </c>
      <c r="N71" s="5" t="n"/>
      <c r="O71" s="18" t="n"/>
      <c r="P71" s="5" t="n"/>
      <c r="Q71" s="5" t="inlineStr">
        <is>
          <t>6bf7b7fb</t>
        </is>
      </c>
    </row>
    <row r="72" ht="62" customHeight="1">
      <c r="A72" s="10" t="inlineStr">
        <is>
          <t>UAT-AST-003</t>
        </is>
      </c>
      <c r="B72" s="5" t="inlineStr">
        <is>
          <t>ทะเบียนทรัพย์สินกลาง</t>
        </is>
      </c>
      <c r="C72" s="5" t="inlineStr">
        <is>
          <t>ทะเบียนทรัพย์สินกลาง</t>
        </is>
      </c>
      <c r="D72" s="5" t="inlineStr">
        <is>
          <t>กรองหลายเงื่อนไข หมวด+ไซต์+สถานะ+ความสำคัญ</t>
        </is>
      </c>
      <c r="E72" s="10" t="inlineStr">
        <is>
          <t>Functional</t>
        </is>
      </c>
      <c r="F72" s="5" t="inlineStr">
        <is>
          <t>เข้าสู่ระบบแล้ว</t>
        </is>
      </c>
      <c r="G72" s="5" t="inlineStr">
        <is>
          <t>1. เลือกหมวด = เครื่องจักรการผลิต
2. ไซต์ = โรงงานสมุทรสาคร
3. สถานะ = ซ่อม/ปรับปรุง
4. ความสำคัญ = A วิกฤต</t>
        </is>
      </c>
      <c r="H72" s="5" t="inlineStr">
        <is>
          <t>-</t>
        </is>
      </c>
      <c r="I72" s="5" t="inlineStr">
        <is>
          <t>แสดงเฉพาะรายการที่ตรงทุกเงื่อนไข (AND); ถ้าไม่พบแสดง "ไม่พบทรัพย์สินตามตัวกรอง"</t>
        </is>
      </c>
      <c r="J72" s="10" t="inlineStr">
        <is>
          <t>High</t>
        </is>
      </c>
      <c r="K72" s="5" t="inlineStr">
        <is>
          <t>ผู้จัดการทรัพย์สิน (asset.mgr)</t>
        </is>
      </c>
      <c r="L72" s="5" t="n"/>
      <c r="M72" s="10" t="inlineStr">
        <is>
          <t>ยังไม่ทดสอบ</t>
        </is>
      </c>
      <c r="N72" s="5" t="n"/>
      <c r="O72" s="18" t="n"/>
      <c r="P72" s="5" t="n"/>
      <c r="Q72" s="5" t="inlineStr">
        <is>
          <t>6bf7b7fb</t>
        </is>
      </c>
    </row>
    <row r="73" ht="18.5" customHeight="1">
      <c r="A73" s="10" t="inlineStr">
        <is>
          <t>UAT-AST-004</t>
        </is>
      </c>
      <c r="B73" s="5" t="inlineStr">
        <is>
          <t>ทะเบียนทรัพย์สินกลาง</t>
        </is>
      </c>
      <c r="C73" s="5" t="inlineStr">
        <is>
          <t>ทะเบียนทรัพย์สินกลาง</t>
        </is>
      </c>
      <c r="D73" s="5" t="inlineStr">
        <is>
          <t>ปุ่ม "ล้างตัวกรอง"</t>
        </is>
      </c>
      <c r="E73" s="10" t="inlineStr">
        <is>
          <t>Functional</t>
        </is>
      </c>
      <c r="F73" s="5" t="inlineStr">
        <is>
          <t>มีการตั้งตัวกรองไว้</t>
        </is>
      </c>
      <c r="G73" s="5" t="inlineStr">
        <is>
          <t>1. คลิก "ล้างตัวกรอง"</t>
        </is>
      </c>
      <c r="H73" s="5" t="inlineStr">
        <is>
          <t>-</t>
        </is>
      </c>
      <c r="I73" s="5" t="inlineStr">
        <is>
          <t>ตัวกรองทุกช่องกลับค่าเริ่มต้นและรายการแสดงครบ</t>
        </is>
      </c>
      <c r="J73" s="10" t="inlineStr">
        <is>
          <t>Low</t>
        </is>
      </c>
      <c r="K73" s="5" t="inlineStr">
        <is>
          <t>ผู้จัดการทรัพย์สิน (asset.mgr)</t>
        </is>
      </c>
      <c r="L73" s="5" t="n"/>
      <c r="M73" s="10" t="inlineStr">
        <is>
          <t>ยังไม่ทดสอบ</t>
        </is>
      </c>
      <c r="N73" s="5" t="n"/>
      <c r="O73" s="18" t="n"/>
      <c r="P73" s="5" t="n"/>
      <c r="Q73" s="5" t="inlineStr">
        <is>
          <t>6bf7b7fb</t>
        </is>
      </c>
    </row>
    <row r="74" ht="33" customHeight="1">
      <c r="A74" s="10" t="inlineStr">
        <is>
          <t>UAT-AST-005</t>
        </is>
      </c>
      <c r="B74" s="5" t="inlineStr">
        <is>
          <t>ทะเบียนทรัพย์สินกลาง</t>
        </is>
      </c>
      <c r="C74" s="5" t="inlineStr">
        <is>
          <t>ทะเบียนทรัพย์สินกลาง</t>
        </is>
      </c>
      <c r="D74" s="5" t="inlineStr">
        <is>
          <t>ค้นหาด้วย S/N / เลขครุภัณฑ์ / RFID / ผู้ถือครอง</t>
        </is>
      </c>
      <c r="E74" s="10" t="inlineStr">
        <is>
          <t>Functional</t>
        </is>
      </c>
      <c r="F74" s="5" t="inlineStr">
        <is>
          <t>เข้าสู่ระบบแล้ว</t>
        </is>
      </c>
      <c r="G74" s="5" t="inlineStr">
        <is>
          <t>1. ค้นหาด้วย Serial No.
2. ค้นหาด้วยชื่อผู้รับผิดชอบ</t>
        </is>
      </c>
      <c r="H74" s="5" t="inlineStr">
        <is>
          <t>S/N ของ SRV-001; ผู้รับผิดชอบ: สมชาย ใจดี</t>
        </is>
      </c>
      <c r="I74" s="5" t="inlineStr">
        <is>
          <t>พบรายการที่ตรง; ค้นหาได้ทุกฟิลด์ตามที่ placeholder ระบุ</t>
        </is>
      </c>
      <c r="J74" s="10" t="inlineStr">
        <is>
          <t>Medium</t>
        </is>
      </c>
      <c r="K74" s="5" t="inlineStr">
        <is>
          <t>ผู้จัดการทรัพย์สิน (asset.mgr)</t>
        </is>
      </c>
      <c r="L74" s="5" t="n"/>
      <c r="M74" s="10" t="inlineStr">
        <is>
          <t>ยังไม่ทดสอบ</t>
        </is>
      </c>
      <c r="N74" s="5" t="n"/>
      <c r="O74" s="18" t="n"/>
      <c r="P74" s="5" t="n"/>
      <c r="Q74" s="5" t="inlineStr">
        <is>
          <t>6bf7b7fb</t>
        </is>
      </c>
    </row>
    <row r="75" ht="120" customHeight="1">
      <c r="A75" s="10" t="inlineStr">
        <is>
          <t>UAT-AST-006</t>
        </is>
      </c>
      <c r="B75" s="5" t="inlineStr">
        <is>
          <t>ทะเบียนทรัพย์สินกลาง</t>
        </is>
      </c>
      <c r="C75" s="5" t="inlineStr">
        <is>
          <t>ทะเบียนทรัพย์สินกลาง</t>
        </is>
      </c>
      <c r="D75" s="5" t="inlineStr">
        <is>
          <t>เพิ่มทรัพย์สินใหม่ผ่าน Wizard 4 ขั้น (Happy path)</t>
        </is>
      </c>
      <c r="E75" s="10" t="inlineStr">
        <is>
          <t>Functional</t>
        </is>
      </c>
      <c r="F75" s="5" t="inlineStr">
        <is>
          <t>มีสิทธิ์ "เพิ่มทรัพย์สิน"</t>
        </is>
      </c>
      <c r="G75" s="5" t="inlineStr">
        <is>
          <t>1. คลิก "+ เพิ่มทรัพย์สิน"
2. ขั้น 1 ข้อมูลหลัก: เลือกหมวด, กด "สร้างเลขถัดไป", กรอกชื่อ, ไซต์ ฯลฯ แล้ว "ถัดไป"
3. ขั้น 2 บัญชี/ค่าเสื่อม: กรอกราคาทุน วันที่ซื้อ วันเริ่มใช้ วิธีคิด อายุ มูลค่าซาก
4. ขั้น 3 สเปก/ข้อมูลเพิ่มเติม
5. ขั้น 4 ป้าย &amp; ติดตาม: RFID EPC, Barcode, Geofence
6. กด "บันทึก"</t>
        </is>
      </c>
      <c r="H75" s="5" t="inlineStr">
        <is>
          <t>หมวด: อุปกรณ์ไอทีและเครือข่าย; ชื่อ: Notebook Dell Latitude 5450; ไซต์: โรงงานสมุทรสาคร; ราคาทุน 42,000; วันที่ซื้อ 01/10/2569; เส้นตรง 36 เดือน; ซาก 1</t>
        </is>
      </c>
      <c r="I75" s="5" t="inlineStr">
        <is>
          <t>Stepper แสดง ✓ ขั้นที่ผ่าน; บันทึกสำเร็จ toast; รายการใหม่อยู่บนสุดของตาราง Asset Tag รันเลขอัตโนมัติ; KPI จำนวน/ราคาทุนอัปเดต</t>
        </is>
      </c>
      <c r="J75" s="10" t="inlineStr">
        <is>
          <t>High</t>
        </is>
      </c>
      <c r="K75" s="5" t="inlineStr">
        <is>
          <t>ผู้จัดการทรัพย์สิน (asset.mgr)</t>
        </is>
      </c>
      <c r="L75" s="5" t="n"/>
      <c r="M75" s="10" t="inlineStr">
        <is>
          <t>ยังไม่ทดสอบ</t>
        </is>
      </c>
      <c r="N75" s="5" t="n"/>
      <c r="O75" s="18" t="n"/>
      <c r="P75" s="5" t="n"/>
      <c r="Q75" s="5" t="inlineStr">
        <is>
          <t>6bf7b7fb</t>
        </is>
      </c>
    </row>
    <row r="76" ht="33" customHeight="1">
      <c r="A76" s="10" t="inlineStr">
        <is>
          <t>UAT-AST-007</t>
        </is>
      </c>
      <c r="B76" s="5" t="inlineStr">
        <is>
          <t>ทะเบียนทรัพย์สินกลาง</t>
        </is>
      </c>
      <c r="C76" s="5" t="inlineStr">
        <is>
          <t>ทะเบียนทรัพย์สินกลาง</t>
        </is>
      </c>
      <c r="D76" s="5" t="inlineStr">
        <is>
          <t>Wizard: ไม่กรอกฟิลด์บังคับขั้นที่ 1</t>
        </is>
      </c>
      <c r="E76" s="10" t="inlineStr">
        <is>
          <t>Validation</t>
        </is>
      </c>
      <c r="F76" s="5" t="inlineStr">
        <is>
          <t>เปิดฟอร์มเพิ่มทรัพย์สิน</t>
        </is>
      </c>
      <c r="G76" s="5" t="inlineStr">
        <is>
          <t>1. เว้นว่าง หมวดทรัพย์สิน, ชื่อทรัพย์สิน, ไซต์
2. กด "ถัดไป"</t>
        </is>
      </c>
      <c r="H76" s="5" t="inlineStr">
        <is>
          <t>-</t>
        </is>
      </c>
      <c r="I76" s="5" t="inlineStr">
        <is>
          <t>ไม่ไปขั้นถัดไป; แสดงข้อความ error (mErr) ระบุฟิลด์บังคับที่ขาดเป็นภาษาไทย และไฮไลต์ช่อง</t>
        </is>
      </c>
      <c r="J76" s="10" t="inlineStr">
        <is>
          <t>High</t>
        </is>
      </c>
      <c r="K76" s="5" t="inlineStr">
        <is>
          <t>ผู้จัดการทรัพย์สิน (asset.mgr)</t>
        </is>
      </c>
      <c r="L76" s="5" t="n"/>
      <c r="M76" s="10" t="inlineStr">
        <is>
          <t>ยังไม่ทดสอบ</t>
        </is>
      </c>
      <c r="N76" s="5" t="n"/>
      <c r="O76" s="18" t="n"/>
      <c r="P76" s="5" t="n"/>
      <c r="Q76" s="5" t="inlineStr">
        <is>
          <t>6bf7b7fb</t>
        </is>
      </c>
    </row>
    <row r="77" ht="47.5" customHeight="1">
      <c r="A77" s="10" t="inlineStr">
        <is>
          <t>UAT-AST-008</t>
        </is>
      </c>
      <c r="B77" s="5" t="inlineStr">
        <is>
          <t>ทะเบียนทรัพย์สินกลาง</t>
        </is>
      </c>
      <c r="C77" s="5" t="inlineStr">
        <is>
          <t>ทะเบียนทรัพย์สินกลาง</t>
        </is>
      </c>
      <c r="D77" s="5" t="inlineStr">
        <is>
          <t>Wizard: Asset Tag ซ้ำ</t>
        </is>
      </c>
      <c r="E77" s="10" t="inlineStr">
        <is>
          <t>Validation</t>
        </is>
      </c>
      <c r="F77" s="5" t="inlineStr">
        <is>
          <t>มี Asset Tag CONV-03 อยู่แล้ว</t>
        </is>
      </c>
      <c r="G77" s="5" t="inlineStr">
        <is>
          <t>1. กรอก Asset Tag = CONV-03
2. กรอกข้อมูลอื่นครบ
3. บันทึก</t>
        </is>
      </c>
      <c r="H77" s="5" t="inlineStr">
        <is>
          <t>Asset Tag: CONV-03</t>
        </is>
      </c>
      <c r="I77" s="5" t="inlineStr">
        <is>
          <t>ระบบปฏิเสธ แจ้ง "Asset Tag ซ้ำ"</t>
        </is>
      </c>
      <c r="J77" s="10" t="inlineStr">
        <is>
          <t>High</t>
        </is>
      </c>
      <c r="K77" s="5" t="inlineStr">
        <is>
          <t>ผู้จัดการทรัพย์สิน (asset.mgr)</t>
        </is>
      </c>
      <c r="L77" s="5" t="n"/>
      <c r="M77" s="10" t="inlineStr">
        <is>
          <t>ยังไม่ทดสอบ</t>
        </is>
      </c>
      <c r="N77" s="5" t="n"/>
      <c r="O77" s="18" t="n"/>
      <c r="P77" s="5" t="n"/>
      <c r="Q77" s="5" t="inlineStr">
        <is>
          <t>6bf7b7fb</t>
        </is>
      </c>
    </row>
    <row r="78" ht="33" customHeight="1">
      <c r="A78" s="10" t="inlineStr">
        <is>
          <t>UAT-AST-009</t>
        </is>
      </c>
      <c r="B78" s="5" t="inlineStr">
        <is>
          <t>ทะเบียนทรัพย์สินกลาง</t>
        </is>
      </c>
      <c r="C78" s="5" t="inlineStr">
        <is>
          <t>ทะเบียนทรัพย์สินกลาง</t>
        </is>
      </c>
      <c r="D78" s="5" t="inlineStr">
        <is>
          <t>Wizard: ปุ่ม "สร้างเลขถัดไป" ตามจำนวนหลักที่ตั้งค่า</t>
        </is>
      </c>
      <c r="E78" s="10" t="inlineStr">
        <is>
          <t>Functional</t>
        </is>
      </c>
      <c r="F78" s="5" t="inlineStr">
        <is>
          <t>ตั้งค่าจำนวนหลัก Asset Tag = 4</t>
        </is>
      </c>
      <c r="G78" s="5" t="inlineStr">
        <is>
          <t>1. เลือกหมวด
2. คลิก "สร้างเลขถัดไป"</t>
        </is>
      </c>
      <c r="H78" s="5" t="inlineStr">
        <is>
          <t>-</t>
        </is>
      </c>
      <c r="I78" s="5" t="inlineStr">
        <is>
          <t>ได้ Tag ถัดไปที่ไม่ซ้ำ รูปแบบตาม prefix หมวด + เลข 4 หลัก</t>
        </is>
      </c>
      <c r="J78" s="10" t="inlineStr">
        <is>
          <t>Medium</t>
        </is>
      </c>
      <c r="K78" s="5" t="inlineStr">
        <is>
          <t>ผู้จัดการทรัพย์สิน (asset.mgr)</t>
        </is>
      </c>
      <c r="L78" s="5" t="n"/>
      <c r="M78" s="10" t="inlineStr">
        <is>
          <t>ยังไม่ทดสอบ</t>
        </is>
      </c>
      <c r="N78" s="5" t="n"/>
      <c r="O78" s="18" t="n"/>
      <c r="P78" s="5" t="n"/>
      <c r="Q78" s="5" t="inlineStr">
        <is>
          <t>6bf7b7fb</t>
        </is>
      </c>
    </row>
    <row r="79" ht="62" customHeight="1">
      <c r="A79" s="10" t="inlineStr">
        <is>
          <t>UAT-AST-010</t>
        </is>
      </c>
      <c r="B79" s="5" t="inlineStr">
        <is>
          <t>ทะเบียนทรัพย์สินกลาง</t>
        </is>
      </c>
      <c r="C79" s="5" t="inlineStr">
        <is>
          <t>ทะเบียนทรัพย์สินกลาง</t>
        </is>
      </c>
      <c r="D79" s="5" t="inlineStr">
        <is>
          <t>Wizard: ค่าตัวเลขไม่ถูกต้องในขั้นบัญชี</t>
        </is>
      </c>
      <c r="E79" s="10" t="inlineStr">
        <is>
          <t>Validation</t>
        </is>
      </c>
      <c r="F79" s="5" t="inlineStr">
        <is>
          <t>อยู่ขั้น 2 บัญชี/ค่าเสื่อม</t>
        </is>
      </c>
      <c r="G79" s="5" t="inlineStr">
        <is>
          <t>1. กรอกราคาทุนติดลบ
2. กรอกมูลค่าซากมากกว่าราคาทุน
3. กรอกวันเริ่มใช้ก่อนวันที่ซื้อ
4. กด ถัดไป</t>
        </is>
      </c>
      <c r="H79" s="5" t="inlineStr">
        <is>
          <t>ราคาทุน -100; ซาก 50,000 &gt; ทุน 42,000</t>
        </is>
      </c>
      <c r="I79" s="5" t="inlineStr">
        <is>
          <t>แสดงข้อความ validation แต่ละกรณี ไม่อนุญาตให้บันทึก</t>
        </is>
      </c>
      <c r="J79" s="10" t="inlineStr">
        <is>
          <t>High</t>
        </is>
      </c>
      <c r="K79" s="5" t="inlineStr">
        <is>
          <t>บัญชีสินทรัพย์ (account)</t>
        </is>
      </c>
      <c r="L79" s="5" t="n"/>
      <c r="M79" s="10" t="inlineStr">
        <is>
          <t>ยังไม่ทดสอบ</t>
        </is>
      </c>
      <c r="N79" s="5" t="n"/>
      <c r="O79" s="18" t="n"/>
      <c r="P79" s="5" t="n"/>
      <c r="Q79" s="5" t="inlineStr">
        <is>
          <t>6bf7b7fb</t>
        </is>
      </c>
    </row>
    <row r="80" ht="33" customHeight="1">
      <c r="A80" s="10" t="inlineStr">
        <is>
          <t>UAT-AST-011</t>
        </is>
      </c>
      <c r="B80" s="5" t="inlineStr">
        <is>
          <t>ทะเบียนทรัพย์สินกลาง</t>
        </is>
      </c>
      <c r="C80" s="5" t="inlineStr">
        <is>
          <t>ทะเบียนทรัพย์สินกลาง</t>
        </is>
      </c>
      <c r="D80" s="5" t="inlineStr">
        <is>
          <t>Wizard: ปุ่มย้อนกลับเก็บค่าที่กรอกไว้</t>
        </is>
      </c>
      <c r="E80" s="10" t="inlineStr">
        <is>
          <t>Functional</t>
        </is>
      </c>
      <c r="F80" s="5" t="inlineStr">
        <is>
          <t>อยู่ขั้น 3</t>
        </is>
      </c>
      <c r="G80" s="5" t="inlineStr">
        <is>
          <t>1. กด "ย้อนกลับ" 2 ครั้ง
2. กด "ถัดไป" กลับมา</t>
        </is>
      </c>
      <c r="H80" s="5" t="inlineStr">
        <is>
          <t>-</t>
        </is>
      </c>
      <c r="I80" s="5" t="inlineStr">
        <is>
          <t>ข้อมูลที่กรอกในแต่ละขั้นยังคงอยู่</t>
        </is>
      </c>
      <c r="J80" s="10" t="inlineStr">
        <is>
          <t>Medium</t>
        </is>
      </c>
      <c r="K80" s="5" t="inlineStr">
        <is>
          <t>ผู้จัดการทรัพย์สิน (asset.mgr)</t>
        </is>
      </c>
      <c r="L80" s="5" t="n"/>
      <c r="M80" s="10" t="inlineStr">
        <is>
          <t>ยังไม่ทดสอบ</t>
        </is>
      </c>
      <c r="N80" s="5" t="n"/>
      <c r="O80" s="18" t="n"/>
      <c r="P80" s="5" t="n"/>
      <c r="Q80" s="5" t="inlineStr">
        <is>
          <t>6bf7b7fb</t>
        </is>
      </c>
    </row>
    <row r="81" ht="33" customHeight="1">
      <c r="A81" s="10" t="inlineStr">
        <is>
          <t>UAT-AST-012</t>
        </is>
      </c>
      <c r="B81" s="5" t="inlineStr">
        <is>
          <t>ทะเบียนทรัพย์สินกลาง</t>
        </is>
      </c>
      <c r="C81" s="5" t="inlineStr">
        <is>
          <t>ทะเบียนทรัพย์สินกลาง</t>
        </is>
      </c>
      <c r="D81" s="5" t="inlineStr">
        <is>
          <t>Wizard: เลือกเครื่องแม่ (ลำดับชั้น EAM)</t>
        </is>
      </c>
      <c r="E81" s="10" t="inlineStr">
        <is>
          <t>Functional</t>
        </is>
      </c>
      <c r="F81" s="5" t="inlineStr">
        <is>
          <t>มีทรัพย์สิน CONV-03</t>
        </is>
      </c>
      <c r="G81" s="5" t="inlineStr">
        <is>
          <t>1. ในขั้น 1 พิมพ์ "CONV" ในช่องเครื่องแม่
2. เลือก CONV-03</t>
        </is>
      </c>
      <c r="H81" s="5" t="inlineStr">
        <is>
          <t>-</t>
        </is>
      </c>
      <c r="I81" s="5" t="inlineStr">
        <is>
          <t>แสดง typeahead; บันทึกแล้วทรัพย์สินใหม่อยู่ใต้ CONV-03 ในหน้า EAM</t>
        </is>
      </c>
      <c r="J81" s="10" t="inlineStr">
        <is>
          <t>Medium</t>
        </is>
      </c>
      <c r="K81" s="5" t="inlineStr">
        <is>
          <t>ผู้จัดการทรัพย์สิน (asset.mgr)</t>
        </is>
      </c>
      <c r="L81" s="5" t="n"/>
      <c r="M81" s="10" t="inlineStr">
        <is>
          <t>ยังไม่ทดสอบ</t>
        </is>
      </c>
      <c r="N81" s="5" t="n"/>
      <c r="O81" s="18" t="n"/>
      <c r="P81" s="5" t="n"/>
      <c r="Q81" s="5" t="inlineStr">
        <is>
          <t>6bf7b7fb</t>
        </is>
      </c>
    </row>
    <row r="82" ht="76.5" customHeight="1">
      <c r="A82" s="10" t="inlineStr">
        <is>
          <t>UAT-AST-013</t>
        </is>
      </c>
      <c r="B82" s="5" t="inlineStr">
        <is>
          <t>ทะเบียนทรัพย์สินกลาง</t>
        </is>
      </c>
      <c r="C82" s="5" t="inlineStr">
        <is>
          <t>ทะเบียนทรัพย์สินกลาง</t>
        </is>
      </c>
      <c r="D82" s="5" t="inlineStr">
        <is>
          <t>เพิ่มฟิลด์เพิ่มเติม (Custom Field) ในฟอร์มเพิ่มทรัพย์สิน (ขั้น 3 สเปก/ข้อมูลเพิ่มเติม และฟิลด์ตามหมวด)</t>
        </is>
      </c>
      <c r="E82" s="10" t="inlineStr">
        <is>
          <t>Functional</t>
        </is>
      </c>
      <c r="F82" s="5" t="inlineStr">
        <is>
          <t>เข้าสู่ระบบแล้ว; เปิดฟอร์มเพิ่มทรัพย์สิน (ขั้น 3 สเปก/ข้อมูลเพิ่มเติม และฟิลด์ตามหมวด)</t>
        </is>
      </c>
      <c r="G82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82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82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82" s="10" t="inlineStr">
        <is>
          <t>Medium</t>
        </is>
      </c>
      <c r="K82" s="5" t="inlineStr">
        <is>
          <t>ผู้จัดการทรัพย์สิน (asset.mgr)</t>
        </is>
      </c>
      <c r="L82" s="5" t="n"/>
      <c r="M82" s="10" t="inlineStr">
        <is>
          <t>ยังไม่ทดสอบ</t>
        </is>
      </c>
      <c r="N82" s="5" t="n"/>
      <c r="O82" s="18" t="n"/>
      <c r="P82" s="5" t="n"/>
      <c r="Q82" s="5" t="inlineStr">
        <is>
          <t>6bf7b7fb</t>
        </is>
      </c>
    </row>
    <row r="83" ht="47.5" customHeight="1">
      <c r="A83" s="10" t="inlineStr">
        <is>
          <t>UAT-AST-014</t>
        </is>
      </c>
      <c r="B83" s="5" t="inlineStr">
        <is>
          <t>ทะเบียนทรัพย์สินกลาง</t>
        </is>
      </c>
      <c r="C83" s="5" t="inlineStr">
        <is>
          <t>ทะเบียนทรัพย์สินกลาง</t>
        </is>
      </c>
      <c r="D83" s="5" t="inlineStr">
        <is>
          <t>ฟิลด์ตามหมวด (Custom Field ที่ตั้งใน Master Data) แสดงในฟอร์ม</t>
        </is>
      </c>
      <c r="E83" s="10" t="inlineStr">
        <is>
          <t>Functional</t>
        </is>
      </c>
      <c r="F83" s="5" t="inlineStr">
        <is>
          <t>ตั้งฟิลด์ "IP Address" (บังคับ) ให้หมวด อุปกรณ์ไอทีและเครือข่าย</t>
        </is>
      </c>
      <c r="G83" s="5" t="inlineStr">
        <is>
          <t>1. เพิ่มทรัพย์สินหมวด IT
2. ตรวจขั้นสเปก
3. เว้นว่าง IP Address แล้วบันทึก</t>
        </is>
      </c>
      <c r="H83" s="5" t="inlineStr">
        <is>
          <t>IP: 10.10.1.25</t>
        </is>
      </c>
      <c r="I83" s="5" t="inlineStr">
        <is>
          <t>ฟิลด์ IP Address ปรากฏเฉพาะหมวด IT; เว้นว่างแล้วระบบแจ้งเป็นฟิลด์บังคับ; กรอกถูกรูปแบบบันทึกได้</t>
        </is>
      </c>
      <c r="J83" s="10" t="inlineStr">
        <is>
          <t>High</t>
        </is>
      </c>
      <c r="K83" s="5" t="inlineStr">
        <is>
          <t>ผู้จัดการทรัพย์สิน (asset.mgr)</t>
        </is>
      </c>
      <c r="L83" s="5" t="n"/>
      <c r="M83" s="10" t="inlineStr">
        <is>
          <t>ยังไม่ทดสอบ</t>
        </is>
      </c>
      <c r="N83" s="5" t="n"/>
      <c r="O83" s="18" t="n"/>
      <c r="P83" s="5" t="n"/>
      <c r="Q83" s="5" t="inlineStr">
        <is>
          <t>6bf7b7fb</t>
        </is>
      </c>
    </row>
    <row r="84" ht="62" customHeight="1">
      <c r="A84" s="10" t="inlineStr">
        <is>
          <t>UAT-AST-015</t>
        </is>
      </c>
      <c r="B84" s="5" t="inlineStr">
        <is>
          <t>ทะเบียนทรัพย์สินกลาง</t>
        </is>
      </c>
      <c r="C84" s="5" t="inlineStr">
        <is>
          <t>ทะเบียนทรัพย์สินกลาง</t>
        </is>
      </c>
      <c r="D84" s="5" t="inlineStr">
        <is>
          <t>เปิด Asset 360 drawer และสลับแท็บ</t>
        </is>
      </c>
      <c r="E84" s="10" t="inlineStr">
        <is>
          <t>Functional</t>
        </is>
      </c>
      <c r="F84" s="5" t="inlineStr">
        <is>
          <t>มีทรัพย์สินในตาราง</t>
        </is>
      </c>
      <c r="G84" s="5" t="inlineStr">
        <is>
          <t>1. คลิกแถว CONV-03
2. สลับแท็บ ข้อมูลทั่วไป / บัญชี-ค่าเสื่อม / ประวัติซ่อม / PM / การเคลื่อนไหว / เอกสาร / ฟิลด์เพิ่มเติม
3. กด ✕ ปิด</t>
        </is>
      </c>
      <c r="H84" s="5" t="inlineStr">
        <is>
          <t>-</t>
        </is>
      </c>
      <c r="I84" s="5" t="inlineStr">
        <is>
          <t>Drawer ขวาแสดงข้อมูลครบทุกแท็บ; แท็บบัญชีแสดงกราฟแนวโน้ม NBV (พ.ศ.); ประวัติซ่อมแสดง WO; ปิดแล้วกลับหน้ารายการ</t>
        </is>
      </c>
      <c r="J84" s="10" t="inlineStr">
        <is>
          <t>High</t>
        </is>
      </c>
      <c r="K84" s="5" t="inlineStr">
        <is>
          <t>ผู้จัดการทรัพย์สิน (asset.mgr)</t>
        </is>
      </c>
      <c r="L84" s="5" t="n"/>
      <c r="M84" s="10" t="inlineStr">
        <is>
          <t>ยังไม่ทดสอบ</t>
        </is>
      </c>
      <c r="N84" s="5" t="n"/>
      <c r="O84" s="18" t="n"/>
      <c r="P84" s="5" t="n"/>
      <c r="Q84" s="5" t="inlineStr">
        <is>
          <t>6bf7b7fb</t>
        </is>
      </c>
    </row>
    <row r="85" ht="33" customHeight="1">
      <c r="A85" s="10" t="inlineStr">
        <is>
          <t>UAT-AST-016</t>
        </is>
      </c>
      <c r="B85" s="5" t="inlineStr">
        <is>
          <t>ทะเบียนทรัพย์สินกลาง</t>
        </is>
      </c>
      <c r="C85" s="5" t="inlineStr">
        <is>
          <t>ทะเบียนทรัพย์สินกลาง</t>
        </is>
      </c>
      <c r="D85" s="5" t="inlineStr">
        <is>
          <t>QR Code ใน Asset 360</t>
        </is>
      </c>
      <c r="E85" s="10" t="inlineStr">
        <is>
          <t>Functional</t>
        </is>
      </c>
      <c r="F85" s="5" t="inlineStr">
        <is>
          <t>เปิด drawer ทรัพย์สิน</t>
        </is>
      </c>
      <c r="G85" s="5" t="inlineStr">
        <is>
          <t>1. ตรวจ QR
2. สแกนด้วยมือถือ</t>
        </is>
      </c>
      <c r="H85" s="5" t="inlineStr">
        <is>
          <t>-</t>
        </is>
      </c>
      <c r="I85" s="5" t="inlineStr">
        <is>
          <t>สแกนแล้วเปิดหน้าทรัพย์สินนั้น (ต้องล็อกอิน)</t>
        </is>
      </c>
      <c r="J85" s="10" t="inlineStr">
        <is>
          <t>Medium</t>
        </is>
      </c>
      <c r="K85" s="5" t="inlineStr">
        <is>
          <t>ช่างซ่อมบำรุง (somchai)</t>
        </is>
      </c>
      <c r="L85" s="5" t="n"/>
      <c r="M85" s="10" t="inlineStr">
        <is>
          <t>ยังไม่ทดสอบ</t>
        </is>
      </c>
      <c r="N85" s="5" t="n"/>
      <c r="O85" s="18" t="n"/>
      <c r="P85" s="5" t="n"/>
      <c r="Q85" s="5" t="inlineStr">
        <is>
          <t>6bf7b7fb</t>
        </is>
      </c>
    </row>
    <row r="86" ht="47.5" customHeight="1">
      <c r="A86" s="10" t="inlineStr">
        <is>
          <t>UAT-AST-017</t>
        </is>
      </c>
      <c r="B86" s="5" t="inlineStr">
        <is>
          <t>ทะเบียนทรัพย์สินกลาง</t>
        </is>
      </c>
      <c r="C86" s="5" t="inlineStr">
        <is>
          <t>ทะเบียนทรัพย์สินกลาง</t>
        </is>
      </c>
      <c r="D86" s="5" t="inlineStr">
        <is>
          <t>แก้ไขทรัพย์สิน</t>
        </is>
      </c>
      <c r="E86" s="10" t="inlineStr">
        <is>
          <t>Functional</t>
        </is>
      </c>
      <c r="F86" s="5" t="inlineStr">
        <is>
          <t>มีสิทธิ์ "แก้ไขทรัพย์สิน"</t>
        </is>
      </c>
      <c r="G86" s="5" t="inlineStr">
        <is>
          <t>1. คลิกไอคอนแก้ไขที่แถว
2. เปลี่ยนที่ตั้งและผู้รับผิดชอบ
3. บันทึก</t>
        </is>
      </c>
      <c r="H86" s="5" t="inlineStr">
        <is>
          <t>ที่ตั้ง: อาคาร A · ไลน์ 2; ผู้รับผิดชอบ: วิชัย ทองดี</t>
        </is>
      </c>
      <c r="I86" s="5" t="inlineStr">
        <is>
          <t>ข้อมูลอัปเดตในตาราง; Audit Log บันทึก update พร้อมค่าก่อน/หลัง</t>
        </is>
      </c>
      <c r="J86" s="10" t="inlineStr">
        <is>
          <t>High</t>
        </is>
      </c>
      <c r="K86" s="5" t="inlineStr">
        <is>
          <t>ผู้จัดการทรัพย์สิน (asset.mgr)</t>
        </is>
      </c>
      <c r="L86" s="5" t="n"/>
      <c r="M86" s="10" t="inlineStr">
        <is>
          <t>ยังไม่ทดสอบ</t>
        </is>
      </c>
      <c r="N86" s="5" t="n"/>
      <c r="O86" s="18" t="n"/>
      <c r="P86" s="5" t="n"/>
      <c r="Q86" s="5" t="inlineStr">
        <is>
          <t>6bf7b7fb</t>
        </is>
      </c>
    </row>
    <row r="87" ht="47.5" customHeight="1">
      <c r="A87" s="10" t="inlineStr">
        <is>
          <t>UAT-AST-018</t>
        </is>
      </c>
      <c r="B87" s="5" t="inlineStr">
        <is>
          <t>ทะเบียนทรัพย์สินกลาง</t>
        </is>
      </c>
      <c r="C87" s="5" t="inlineStr">
        <is>
          <t>ทะเบียนทรัพย์สินกลาง</t>
        </is>
      </c>
      <c r="D87" s="5" t="inlineStr">
        <is>
          <t>เลือกหลายรายการ (Bulk) และโอนย้าย</t>
        </is>
      </c>
      <c r="E87" s="10" t="inlineStr">
        <is>
          <t>Functional</t>
        </is>
      </c>
      <c r="F87" s="5" t="inlineStr">
        <is>
          <t>เข้าสู่ระบบแล้ว</t>
        </is>
      </c>
      <c r="G87" s="5" t="inlineStr">
        <is>
          <t>1. ติ๊ก checkbox 3 แถว
2. ตรวจแถบ "เลือก n รายการ"
3. คลิก "โอนย้าย"</t>
        </is>
      </c>
      <c r="H87" s="5" t="inlineStr">
        <is>
          <t>-</t>
        </is>
      </c>
      <c r="I87" s="5" t="inlineStr">
        <is>
          <t>แถบ bulk แสดงจำนวนที่เลือก; คลิกโอนย้ายเปิดฟอร์มขอโอนย้ายพร้อมรายการที่เลือก; "ยกเลิกเลือก" ล้าง selection</t>
        </is>
      </c>
      <c r="J87" s="10" t="inlineStr">
        <is>
          <t>Medium</t>
        </is>
      </c>
      <c r="K87" s="5" t="inlineStr">
        <is>
          <t>ผู้จัดการทรัพย์สิน (asset.mgr)</t>
        </is>
      </c>
      <c r="L87" s="5" t="n"/>
      <c r="M87" s="10" t="inlineStr">
        <is>
          <t>ยังไม่ทดสอบ</t>
        </is>
      </c>
      <c r="N87" s="5" t="n"/>
      <c r="O87" s="18" t="n"/>
      <c r="P87" s="5" t="n"/>
      <c r="Q87" s="5" t="inlineStr">
        <is>
          <t>6bf7b7fb</t>
        </is>
      </c>
    </row>
    <row r="88" ht="47.5" customHeight="1">
      <c r="A88" s="10" t="inlineStr">
        <is>
          <t>UAT-AST-019</t>
        </is>
      </c>
      <c r="B88" s="5" t="inlineStr">
        <is>
          <t>ทะเบียนทรัพย์สินกลาง</t>
        </is>
      </c>
      <c r="C88" s="5" t="inlineStr">
        <is>
          <t>ทะเบียนทรัพย์สินกลาง</t>
        </is>
      </c>
      <c r="D88" s="5" t="inlineStr">
        <is>
          <t>นำเข้าทรัพย์สินจากไฟล์</t>
        </is>
      </c>
      <c r="E88" s="10" t="inlineStr">
        <is>
          <t>Functional</t>
        </is>
      </c>
      <c r="F88" s="5" t="inlineStr">
        <is>
          <t>มีไฟล์ Excel/CSV ตาม template</t>
        </is>
      </c>
      <c r="G88" s="5" t="inlineStr">
        <is>
          <t>1. คลิก "นำเข้า"
2. เลือกไฟล์ 10 แถว (มี 1 แถวผิดรูปแบบ)
3. ยืนยันนำเข้า</t>
        </is>
      </c>
      <c r="H88" s="5" t="inlineStr">
        <is>
          <t>ไฟล์ import_assets.xlsx</t>
        </is>
      </c>
      <c r="I88" s="5" t="inlineStr">
        <is>
          <t>แสดงตัวอย่างและรายงานแถวที่ผิด; นำเข้าแถวที่ถูกต้อง 9 แถว; Audit Log บันทึก import</t>
        </is>
      </c>
      <c r="J88" s="10" t="inlineStr">
        <is>
          <t>Medium</t>
        </is>
      </c>
      <c r="K88" s="5" t="inlineStr">
        <is>
          <t>ผู้จัดการทรัพย์สิน (asset.mgr)</t>
        </is>
      </c>
      <c r="L88" s="5" t="n"/>
      <c r="M88" s="10" t="inlineStr">
        <is>
          <t>ยังไม่ทดสอบ</t>
        </is>
      </c>
      <c r="N88" s="5" t="n"/>
      <c r="O88" s="18" t="n"/>
      <c r="P88" s="5" t="n"/>
      <c r="Q88" s="5" t="inlineStr">
        <is>
          <t>6bf7b7fb</t>
        </is>
      </c>
    </row>
    <row r="89" ht="33" customHeight="1">
      <c r="A89" s="10" t="inlineStr">
        <is>
          <t>UAT-AST-020</t>
        </is>
      </c>
      <c r="B89" s="5" t="inlineStr">
        <is>
          <t>ทะเบียนทรัพย์สินกลาง</t>
        </is>
      </c>
      <c r="C89" s="5" t="inlineStr">
        <is>
          <t>ทะเบียนทรัพย์สินกลาง</t>
        </is>
      </c>
      <c r="D89" s="5" t="inlineStr">
        <is>
          <t>ส่งออกทะเบียน</t>
        </is>
      </c>
      <c r="E89" s="10" t="inlineStr">
        <is>
          <t>Functional</t>
        </is>
      </c>
      <c r="F89" s="5" t="inlineStr">
        <is>
          <t>เข้าสู่ระบบแล้ว</t>
        </is>
      </c>
      <c r="G89" s="5" t="inlineStr">
        <is>
          <t>1. ตั้งตัวกรอง
2. คลิก "ส่งออก"</t>
        </is>
      </c>
      <c r="H89" s="5" t="inlineStr">
        <is>
          <t>-</t>
        </is>
      </c>
      <c r="I89" s="5" t="inlineStr">
        <is>
          <t>ไฟล์ส่งออกมีเฉพาะรายการตามตัวกรอง ภาษาไทยไม่เพี้ยน (UTF-8 BOM) วันที่ พ.ศ./ตัวเลขถูกต้อง</t>
        </is>
      </c>
      <c r="J89" s="10" t="inlineStr">
        <is>
          <t>Medium</t>
        </is>
      </c>
      <c r="K89" s="5" t="inlineStr">
        <is>
          <t>ผู้จัดการทรัพย์สิน (asset.mgr)</t>
        </is>
      </c>
      <c r="L89" s="5" t="n"/>
      <c r="M89" s="10" t="inlineStr">
        <is>
          <t>ยังไม่ทดสอบ</t>
        </is>
      </c>
      <c r="N89" s="5" t="n"/>
      <c r="O89" s="18" t="n"/>
      <c r="P89" s="5" t="n"/>
      <c r="Q89" s="5" t="inlineStr">
        <is>
          <t>6bf7b7fb</t>
        </is>
      </c>
    </row>
    <row r="90" ht="18.5" customHeight="1">
      <c r="A90" s="10" t="inlineStr">
        <is>
          <t>UAT-AST-021</t>
        </is>
      </c>
      <c r="B90" s="5" t="inlineStr">
        <is>
          <t>ทะเบียนทรัพย์สินกลาง</t>
        </is>
      </c>
      <c r="C90" s="5" t="inlineStr">
        <is>
          <t>ทะเบียนทรัพย์สินกลาง</t>
        </is>
      </c>
      <c r="D90" s="5" t="inlineStr">
        <is>
          <t>ปุ่ม "พิมพ์ป้าย" จากทะเบียน</t>
        </is>
      </c>
      <c r="E90" s="10" t="inlineStr">
        <is>
          <t>Functional</t>
        </is>
      </c>
      <c r="F90" s="5" t="inlineStr">
        <is>
          <t>เลือกทรัพย์สิน 2 รายการ</t>
        </is>
      </c>
      <c r="G90" s="5" t="inlineStr">
        <is>
          <t>1. คลิก "พิมพ์ป้าย"</t>
        </is>
      </c>
      <c r="H90" s="5" t="inlineStr">
        <is>
          <t>-</t>
        </is>
      </c>
      <c r="I90" s="5" t="inlineStr">
        <is>
          <t>นำไปหน้า พิมพ์ป้าย QR/Barcode พร้อมรายการที่เลือก</t>
        </is>
      </c>
      <c r="J90" s="10" t="inlineStr">
        <is>
          <t>Low</t>
        </is>
      </c>
      <c r="K90" s="5" t="inlineStr">
        <is>
          <t>ผู้จัดการทรัพย์สิน (asset.mgr)</t>
        </is>
      </c>
      <c r="L90" s="5" t="n"/>
      <c r="M90" s="10" t="inlineStr">
        <is>
          <t>ยังไม่ทดสอบ</t>
        </is>
      </c>
      <c r="N90" s="5" t="n"/>
      <c r="O90" s="18" t="n"/>
      <c r="P90" s="5" t="n"/>
      <c r="Q90" s="5" t="inlineStr">
        <is>
          <t>6bf7b7fb</t>
        </is>
      </c>
    </row>
    <row r="91" ht="33" customHeight="1">
      <c r="A91" s="10" t="inlineStr">
        <is>
          <t>UAT-AST-022</t>
        </is>
      </c>
      <c r="B91" s="5" t="inlineStr">
        <is>
          <t>ทะเบียนทรัพย์สินกลาง</t>
        </is>
      </c>
      <c r="C91" s="5" t="inlineStr">
        <is>
          <t>ทะเบียนทรัพย์สินกลาง</t>
        </is>
      </c>
      <c r="D91" s="5" t="inlineStr">
        <is>
          <t>ผู้ตรวจสอบเปิดได้แต่แก้ไขไม่ได้</t>
        </is>
      </c>
      <c r="E91" s="10" t="inlineStr">
        <is>
          <t>Permission</t>
        </is>
      </c>
      <c r="F91" s="5" t="inlineStr">
        <is>
          <t>ล็อกอินเป็น auditor</t>
        </is>
      </c>
      <c r="G91" s="5" t="inlineStr">
        <is>
          <t>1. เปิดหน้าทะเบียน
2. ตรวจปุ่ม เพิ่ม/แก้ไข/นำเข้า</t>
        </is>
      </c>
      <c r="H91" s="5" t="inlineStr">
        <is>
          <t>-</t>
        </is>
      </c>
      <c r="I91" s="5" t="inlineStr">
        <is>
          <t>ดูรายการได้; ปุ่ม เพิ่ม/แก้ไข/นำเข้า/ลบ ถูกซ่อนหรือปิดใช้งาน</t>
        </is>
      </c>
      <c r="J91" s="10" t="inlineStr">
        <is>
          <t>High</t>
        </is>
      </c>
      <c r="K91" s="5" t="inlineStr">
        <is>
          <t>ผู้ตรวจสอบ (auditor)</t>
        </is>
      </c>
      <c r="L91" s="5" t="n"/>
      <c r="M91" s="10" t="inlineStr">
        <is>
          <t>ยังไม่ทดสอบ</t>
        </is>
      </c>
      <c r="N91" s="5" t="n"/>
      <c r="O91" s="18" t="n"/>
      <c r="P91" s="5" t="n"/>
      <c r="Q91" s="5" t="inlineStr">
        <is>
          <t>6bf7b7fb</t>
        </is>
      </c>
    </row>
    <row r="92" ht="33" customHeight="1">
      <c r="A92" s="10" t="inlineStr">
        <is>
          <t>UAT-AST-023</t>
        </is>
      </c>
      <c r="B92" s="5" t="inlineStr">
        <is>
          <t>ทะเบียนทรัพย์สินกลาง</t>
        </is>
      </c>
      <c r="C92" s="5" t="inlineStr">
        <is>
          <t>ทะเบียนทรัพย์สินกลาง</t>
        </is>
      </c>
      <c r="D92" s="5" t="inlineStr">
        <is>
          <t>ผู้แจ้งซ่อมเห็นเฉพาะทรัพย์สินที่ถือครอง</t>
        </is>
      </c>
      <c r="E92" s="10" t="inlineStr">
        <is>
          <t>Permission</t>
        </is>
      </c>
      <c r="F92" s="5" t="inlineStr">
        <is>
          <t>ล็อกอินเป็น user (ขอบเขต: เฉพาะที่ถือครอง)</t>
        </is>
      </c>
      <c r="G92" s="5" t="inlineStr">
        <is>
          <t>1. เปิดหน้าทะเบียน</t>
        </is>
      </c>
      <c r="H92" s="5" t="inlineStr">
        <is>
          <t>-</t>
        </is>
      </c>
      <c r="I92" s="5" t="inlineStr">
        <is>
          <t>แสดงเฉพาะทรัพย์สินที่ตนเป็นผู้ถือครอง; ไม่เห็นราคาทุน/NBV</t>
        </is>
      </c>
      <c r="J92" s="10" t="inlineStr">
        <is>
          <t>High</t>
        </is>
      </c>
      <c r="K92" s="5" t="inlineStr">
        <is>
          <t>ผู้แจ้งซ่อม/ผู้ใช้งานทั่วไป (user)</t>
        </is>
      </c>
      <c r="L92" s="5" t="n"/>
      <c r="M92" s="10" t="inlineStr">
        <is>
          <t>ยังไม่ทดสอบ</t>
        </is>
      </c>
      <c r="N92" s="5" t="n"/>
      <c r="O92" s="18" t="n"/>
      <c r="P92" s="5" t="n"/>
      <c r="Q92" s="5" t="inlineStr">
        <is>
          <t>6bf7b7fb</t>
        </is>
      </c>
    </row>
    <row r="93" ht="33" customHeight="1">
      <c r="A93" s="10" t="inlineStr">
        <is>
          <t>UAT-AST-024</t>
        </is>
      </c>
      <c r="B93" s="5" t="inlineStr">
        <is>
          <t>ทะเบียนทรัพย์สินกลาง</t>
        </is>
      </c>
      <c r="C93" s="5" t="inlineStr">
        <is>
          <t>ทะเบียนทรัพย์สินกลาง</t>
        </is>
      </c>
      <c r="D93" s="5" t="inlineStr">
        <is>
          <t>Health score สีตามช่วง</t>
        </is>
      </c>
      <c r="E93" s="10" t="inlineStr">
        <is>
          <t>UI</t>
        </is>
      </c>
      <c r="F93" s="5" t="inlineStr">
        <is>
          <t>เข้าสู่ระบบแล้ว</t>
        </is>
      </c>
      <c r="G93" s="5" t="inlineStr">
        <is>
          <t>1. ตรวจคอลัมน์ Health</t>
        </is>
      </c>
      <c r="H93" s="5" t="inlineStr">
        <is>
          <t>-</t>
        </is>
      </c>
      <c r="I93" s="5" t="inlineStr">
        <is>
          <t>≥70 เขียว, 50–69 เหลือง, &lt;50 แดง; badge "มี WO" แสดงเมื่อมีใบงานเปิด</t>
        </is>
      </c>
      <c r="J93" s="10" t="inlineStr">
        <is>
          <t>Low</t>
        </is>
      </c>
      <c r="K93" s="5" t="inlineStr">
        <is>
          <t>ผู้จัดการทรัพย์สิน (asset.mgr)</t>
        </is>
      </c>
      <c r="L93" s="5" t="n"/>
      <c r="M93" s="10" t="inlineStr">
        <is>
          <t>ยังไม่ทดสอบ</t>
        </is>
      </c>
      <c r="N93" s="5" t="n"/>
      <c r="O93" s="18" t="n"/>
      <c r="P93" s="5" t="n"/>
      <c r="Q93" s="5" t="inlineStr">
        <is>
          <t>6bf7b7fb</t>
        </is>
      </c>
    </row>
    <row r="94" ht="47.5" customHeight="1">
      <c r="A94" s="10" t="inlineStr">
        <is>
          <t>UAT-AST-025</t>
        </is>
      </c>
      <c r="B94" s="5" t="inlineStr">
        <is>
          <t>ทะเบียนทรัพย์สินกลาง</t>
        </is>
      </c>
      <c r="C94" s="5" t="inlineStr">
        <is>
          <t>ทะเบียนทรัพย์สินกลาง</t>
        </is>
      </c>
      <c r="D94" s="5" t="inlineStr">
        <is>
          <t>ค้นหาไม่พบข้อมูล (ทะเบียนทรัพย์สินกลาง)</t>
        </is>
      </c>
      <c r="E94" s="10" t="inlineStr">
        <is>
          <t>Negative</t>
        </is>
      </c>
      <c r="F94" s="5" t="inlineStr">
        <is>
          <t>เข้าสู่ระบบแล้ว และอยู่ที่หน้าทะเบียนทรัพย์สินกลาง</t>
        </is>
      </c>
      <c r="G94" s="5" t="inlineStr">
        <is>
          <t>1. พิมพ์คำค้นที่ไม่มีอยู่จริงในช่อง "ค้นหา Tag / ชื่อ / S/N / เลขครุภัณฑ์ / RFID / ผู้ถือครอง"
2. สังเกตตาราง/รายการ</t>
        </is>
      </c>
      <c r="H94" s="5" t="inlineStr">
        <is>
          <t>คำค้น: ZZZ-NOTFOUND-999</t>
        </is>
      </c>
      <c r="I94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94" s="10" t="inlineStr">
        <is>
          <t>Low</t>
        </is>
      </c>
      <c r="K94" s="5" t="inlineStr">
        <is>
          <t>ผู้ดูแลระบบสูงสุด (admin)</t>
        </is>
      </c>
      <c r="L94" s="5" t="n"/>
      <c r="M94" s="10" t="inlineStr">
        <is>
          <t>ยังไม่ทดสอบ</t>
        </is>
      </c>
      <c r="N94" s="5" t="n"/>
      <c r="O94" s="18" t="n"/>
      <c r="P94" s="5" t="n"/>
      <c r="Q94" s="5" t="inlineStr">
        <is>
          <t>6bf7b7fb</t>
        </is>
      </c>
    </row>
    <row r="95" ht="62" customHeight="1">
      <c r="A95" s="10" t="inlineStr">
        <is>
          <t>UAT-AST-026</t>
        </is>
      </c>
      <c r="B95" s="5" t="inlineStr">
        <is>
          <t>ทะเบียนทรัพย์สินกลาง</t>
        </is>
      </c>
      <c r="C95" s="5" t="inlineStr">
        <is>
          <t>ทะเบียนทรัพย์สินกลาง</t>
        </is>
      </c>
      <c r="D95" s="5" t="inlineStr">
        <is>
          <t>ค้นหาด้วยคำค้นที่มีอยู่จริง (ทะเบียนทรัพย์สินกลาง)</t>
        </is>
      </c>
      <c r="E95" s="10" t="inlineStr">
        <is>
          <t>Functional</t>
        </is>
      </c>
      <c r="F95" s="5" t="inlineStr">
        <is>
          <t>เข้าสู่ระบบแล้ว และอยู่ที่หน้าทะเบียนทรัพย์สินกลาง</t>
        </is>
      </c>
      <c r="G95" s="5" t="inlineStr">
        <is>
          <t>1. พิมพ์คำค้นในช่อง "ค้นหา Tag / ชื่อ / S/N / เลขครุภัณฑ์ / RFID / ผู้ถือครอง"
2. ตรวจรายการที่แสดง
3. ล้างคำค้น</t>
        </is>
      </c>
      <c r="H95" s="5" t="inlineStr">
        <is>
          <t>คำค้น: MTR-007</t>
        </is>
      </c>
      <c r="I95" s="5" t="inlineStr">
        <is>
          <t>แสดงเฉพาะรายการที่ตรงกับคำค้น (MTR-007 มอเตอร์สายพาน 3); เมื่อล้างคำค้นรายการกลับมาครบ</t>
        </is>
      </c>
      <c r="J95" s="10" t="inlineStr">
        <is>
          <t>Medium</t>
        </is>
      </c>
      <c r="K95" s="5" t="inlineStr">
        <is>
          <t>ผู้ดูแลระบบสูงสุด (admin)</t>
        </is>
      </c>
      <c r="L95" s="5" t="n"/>
      <c r="M95" s="10" t="inlineStr">
        <is>
          <t>ยังไม่ทดสอบ</t>
        </is>
      </c>
      <c r="N95" s="5" t="n"/>
      <c r="O95" s="18" t="n"/>
      <c r="P95" s="5" t="n"/>
      <c r="Q95" s="5" t="inlineStr">
        <is>
          <t>6bf7b7fb</t>
        </is>
      </c>
    </row>
    <row r="96" ht="62" customHeight="1">
      <c r="A96" s="10" t="inlineStr">
        <is>
          <t>UAT-AST-027</t>
        </is>
      </c>
      <c r="B96" s="5" t="inlineStr">
        <is>
          <t>ทะเบียนทรัพย์สินกลาง</t>
        </is>
      </c>
      <c r="C96" s="5" t="inlineStr">
        <is>
          <t>ทะเบียนทรัพย์สินกลาง</t>
        </is>
      </c>
      <c r="D96" s="5" t="inlineStr">
        <is>
          <t>แสดงผลบนมือถือ 375px (ทะเบียนทรัพย์สินกลาง)</t>
        </is>
      </c>
      <c r="E96" s="10" t="inlineStr">
        <is>
          <t>Responsive</t>
        </is>
      </c>
      <c r="F96" s="5" t="inlineStr">
        <is>
          <t>เข้าสู่ระบบแล้ว; เปิด DevTools โหมดอุปกรณ์ iPhone SE/375×667</t>
        </is>
      </c>
      <c r="G96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96" s="5" t="inlineStr">
        <is>
          <t>ความกว้าง 375px</t>
        </is>
      </c>
      <c r="I96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เต็มจอและปิดได้; ผู้จัดการทรัพย์สิน (asset.mgr)</t>
        </is>
      </c>
      <c r="J96" s="10" t="inlineStr">
        <is>
          <t>Medium</t>
        </is>
      </c>
      <c r="K96" s="5" t="inlineStr">
        <is>
          <t>ผู้ดูแลระบบสูงสุด (admin)</t>
        </is>
      </c>
      <c r="L96" s="5" t="n"/>
      <c r="M96" s="10" t="inlineStr">
        <is>
          <t>ยังไม่ทดสอบ</t>
        </is>
      </c>
      <c r="N96" s="5" t="n"/>
      <c r="O96" s="18" t="n"/>
      <c r="P96" s="5" t="n"/>
      <c r="Q96" s="5" t="inlineStr">
        <is>
          <t>6bf7b7fb</t>
        </is>
      </c>
    </row>
    <row r="97" ht="62" customHeight="1">
      <c r="A97" s="10" t="inlineStr">
        <is>
          <t>UAT-AST-028</t>
        </is>
      </c>
      <c r="B97" s="5" t="inlineStr">
        <is>
          <t>ทะเบียนทรัพย์สินกลาง</t>
        </is>
      </c>
      <c r="C97" s="5" t="inlineStr">
        <is>
          <t>ทะเบียนทรัพย์สินกลาง</t>
        </is>
      </c>
      <c r="D97" s="5" t="inlineStr">
        <is>
          <t>แสดงผลบน Desktop 1920px และความอ่านง่ายธีมมืด (ทะเบียนทรัพย์สินกลาง)</t>
        </is>
      </c>
      <c r="E97" s="10" t="inlineStr">
        <is>
          <t>UI</t>
        </is>
      </c>
      <c r="F97" s="5" t="inlineStr">
        <is>
          <t>เข้าสู่ระบบแล้ว; หน้าจอ 1920×1080</t>
        </is>
      </c>
      <c r="G97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97" s="5" t="inlineStr">
        <is>
          <t>ความกว้าง 1920px</t>
        </is>
      </c>
      <c r="I97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97" s="10" t="inlineStr">
        <is>
          <t>Low</t>
        </is>
      </c>
      <c r="K97" s="5" t="inlineStr">
        <is>
          <t>ผู้ดูแลระบบสูงสุด (admin)</t>
        </is>
      </c>
      <c r="L97" s="5" t="n"/>
      <c r="M97" s="10" t="inlineStr">
        <is>
          <t>ยังไม่ทดสอบ</t>
        </is>
      </c>
      <c r="N97" s="5" t="n"/>
      <c r="O97" s="18" t="n"/>
      <c r="P97" s="5" t="n"/>
      <c r="Q97" s="5" t="inlineStr">
        <is>
          <t>6bf7b7fb</t>
        </is>
      </c>
    </row>
    <row r="98" ht="33" customHeight="1">
      <c r="A98" s="10" t="inlineStr">
        <is>
          <t>UAT-LBL-001</t>
        </is>
      </c>
      <c r="B98" s="5" t="inlineStr">
        <is>
          <t>พิมพ์ป้าย QR / Barcode</t>
        </is>
      </c>
      <c r="C98" s="5" t="inlineStr">
        <is>
          <t>พิมพ์ป้าย QR/Barcode</t>
        </is>
      </c>
      <c r="D98" s="5" t="inlineStr">
        <is>
          <t>แสดงรายการป้ายทั้งหมดพร้อมสรุป</t>
        </is>
      </c>
      <c r="E98" s="10" t="inlineStr">
        <is>
          <t>UI</t>
        </is>
      </c>
      <c r="F98" s="5" t="inlineStr">
        <is>
          <t>มีทรัพย์สิน 32 รายการ</t>
        </is>
      </c>
      <c r="G98" s="5" t="inlineStr">
        <is>
          <t>1. เปิดเมนู พิมพ์ป้าย QR/Barcode</t>
        </is>
      </c>
      <c r="H98" s="5" t="inlineStr">
        <is>
          <t>-</t>
        </is>
      </c>
      <c r="I98" s="5" t="inlineStr">
        <is>
          <t>แสดงการ์ดป้าย 32 รายการ (Tag, ชื่อ, ชื่อบริษัท · ไซต์) และสรุป "32 ป้าย · 2 แผ่น A4 · QR เปิดหน้าทรัพย์สิน (ต้อง login)"</t>
        </is>
      </c>
      <c r="J98" s="10" t="inlineStr">
        <is>
          <t>Medium</t>
        </is>
      </c>
      <c r="K98" s="5" t="inlineStr">
        <is>
          <t>ผู้จัดการทรัพย์สิน (asset.mgr)</t>
        </is>
      </c>
      <c r="L98" s="5" t="n"/>
      <c r="M98" s="10" t="inlineStr">
        <is>
          <t>ยังไม่ทดสอบ</t>
        </is>
      </c>
      <c r="N98" s="5" t="n"/>
      <c r="O98" s="18" t="n"/>
      <c r="P98" s="5" t="inlineStr">
        <is>
          <t>ยังไม่มีหน้าจอ mockup — ทดสอบตามข้อกำหนดจากระบบเดิม SmartEAM 360</t>
        </is>
      </c>
      <c r="Q98" s="5" t="inlineStr">
        <is>
          <t>— (ไม่มี mockup)</t>
        </is>
      </c>
    </row>
    <row r="99" ht="33" customHeight="1">
      <c r="A99" s="10" t="inlineStr">
        <is>
          <t>UAT-LBL-002</t>
        </is>
      </c>
      <c r="B99" s="5" t="inlineStr">
        <is>
          <t>พิมพ์ป้าย QR / Barcode</t>
        </is>
      </c>
      <c r="C99" s="5" t="inlineStr">
        <is>
          <t>พิมพ์ป้าย QR/Barcode</t>
        </is>
      </c>
      <c r="D99" s="5" t="inlineStr">
        <is>
          <t>เลือกขนาดป้าย A4 · 24 ดวง (70×37 มม.)</t>
        </is>
      </c>
      <c r="E99" s="10" t="inlineStr">
        <is>
          <t>Functional</t>
        </is>
      </c>
      <c r="F99" s="5" t="inlineStr">
        <is>
          <t>เข้าสู่ระบบแล้ว</t>
        </is>
      </c>
      <c r="G99" s="5" t="inlineStr">
        <is>
          <t>1. เลือกขนาดป้าย A4 · 24 ดวง
2. กดพิมพ์ (Print preview)</t>
        </is>
      </c>
      <c r="H99" s="5" t="inlineStr">
        <is>
          <t>-</t>
        </is>
      </c>
      <c r="I99" s="5" t="inlineStr">
        <is>
          <t>ตัวอย่างพิมพ์ 24 ดวง/แผ่น ขนาด 70×37 มม. ขอบตรงกระดาษสติกเกอร์</t>
        </is>
      </c>
      <c r="J99" s="10" t="inlineStr">
        <is>
          <t>High</t>
        </is>
      </c>
      <c r="K99" s="5" t="inlineStr">
        <is>
          <t>ผู้จัดการทรัพย์สิน (asset.mgr)</t>
        </is>
      </c>
      <c r="L99" s="5" t="n"/>
      <c r="M99" s="10" t="inlineStr">
        <is>
          <t>ยังไม่ทดสอบ</t>
        </is>
      </c>
      <c r="N99" s="5" t="n"/>
      <c r="O99" s="18" t="n"/>
      <c r="P99" s="5" t="inlineStr">
        <is>
          <t>ยังไม่มีหน้าจอ mockup — ทดสอบตามข้อกำหนดจากระบบเดิม SmartEAM 360</t>
        </is>
      </c>
      <c r="Q99" s="5" t="inlineStr">
        <is>
          <t>— (ไม่มี mockup)</t>
        </is>
      </c>
    </row>
    <row r="100" ht="47.5" customHeight="1">
      <c r="A100" s="10" t="inlineStr">
        <is>
          <t>UAT-LBL-003</t>
        </is>
      </c>
      <c r="B100" s="5" t="inlineStr">
        <is>
          <t>พิมพ์ป้าย QR / Barcode</t>
        </is>
      </c>
      <c r="C100" s="5" t="inlineStr">
        <is>
          <t>พิมพ์ป้าย QR/Barcode</t>
        </is>
      </c>
      <c r="D100" s="5" t="inlineStr">
        <is>
          <t>เลือกขนาดป้าย A4 · 65 ดวง และม้วน 50×25 มม.</t>
        </is>
      </c>
      <c r="E100" s="10" t="inlineStr">
        <is>
          <t>Functional</t>
        </is>
      </c>
      <c r="F100" s="5" t="inlineStr">
        <is>
          <t>เข้าสู่ระบบแล้ว</t>
        </is>
      </c>
      <c r="G100" s="5" t="inlineStr">
        <is>
          <t>1. เปลี่ยนขนาดเป็น A4 · 65 ดวง
2. เปลี่ยนเป็นม้วน 50×25 มม.
3. ดู Print preview</t>
        </is>
      </c>
      <c r="H100" s="5" t="inlineStr">
        <is>
          <t>-</t>
        </is>
      </c>
      <c r="I100" s="5" t="inlineStr">
        <is>
          <t>จำนวนแผ่น/ดวงคำนวณใหม่ถูกต้อง; ป้ายม้วนพิมพ์ทีละดวง</t>
        </is>
      </c>
      <c r="J100" s="10" t="inlineStr">
        <is>
          <t>Medium</t>
        </is>
      </c>
      <c r="K100" s="5" t="inlineStr">
        <is>
          <t>ผู้จัดการทรัพย์สิน (asset.mgr)</t>
        </is>
      </c>
      <c r="L100" s="5" t="n"/>
      <c r="M100" s="10" t="inlineStr">
        <is>
          <t>ยังไม่ทดสอบ</t>
        </is>
      </c>
      <c r="N100" s="5" t="n"/>
      <c r="O100" s="18" t="n"/>
      <c r="P100" s="5" t="inlineStr">
        <is>
          <t>ยังไม่มีหน้าจอ mockup — ทดสอบตามข้อกำหนดจากระบบเดิม SmartEAM 360</t>
        </is>
      </c>
      <c r="Q100" s="5" t="inlineStr">
        <is>
          <t>— (ไม่มี mockup)</t>
        </is>
      </c>
    </row>
    <row r="101" ht="33" customHeight="1">
      <c r="A101" s="10" t="inlineStr">
        <is>
          <t>UAT-LBL-004</t>
        </is>
      </c>
      <c r="B101" s="5" t="inlineStr">
        <is>
          <t>พิมพ์ป้าย QR / Barcode</t>
        </is>
      </c>
      <c r="C101" s="5" t="inlineStr">
        <is>
          <t>พิมพ์ป้าย QR/Barcode</t>
        </is>
      </c>
      <c r="D101" s="5" t="inlineStr">
        <is>
          <t>กรองตามหมวดและไซต์</t>
        </is>
      </c>
      <c r="E101" s="10" t="inlineStr">
        <is>
          <t>Functional</t>
        </is>
      </c>
      <c r="F101" s="5" t="inlineStr">
        <is>
          <t>เข้าสู่ระบบแล้ว</t>
        </is>
      </c>
      <c r="G101" s="5" t="inlineStr">
        <is>
          <t>1. เลือกหมวด = อุปกรณ์ไอทีและเครือข่าย
2. ไซต์ = โรงงานระยอง</t>
        </is>
      </c>
      <c r="H101" s="5" t="inlineStr">
        <is>
          <t>-</t>
        </is>
      </c>
      <c r="I101" s="5" t="inlineStr">
        <is>
          <t>แสดงเฉพาะป้ายที่ตรงเงื่อนไข และสรุปจำนวนป้าย/แผ่นอัปเดต</t>
        </is>
      </c>
      <c r="J101" s="10" t="inlineStr">
        <is>
          <t>Medium</t>
        </is>
      </c>
      <c r="K101" s="5" t="inlineStr">
        <is>
          <t>ผู้จัดการทรัพย์สิน (asset.mgr)</t>
        </is>
      </c>
      <c r="L101" s="5" t="n"/>
      <c r="M101" s="10" t="inlineStr">
        <is>
          <t>ยังไม่ทดสอบ</t>
        </is>
      </c>
      <c r="N101" s="5" t="n"/>
      <c r="O101" s="18" t="n"/>
      <c r="P101" s="5" t="inlineStr">
        <is>
          <t>ยังไม่มีหน้าจอ mockup — ทดสอบตามข้อกำหนดจากระบบเดิม SmartEAM 360</t>
        </is>
      </c>
      <c r="Q101" s="5" t="inlineStr">
        <is>
          <t>— (ไม่มี mockup)</t>
        </is>
      </c>
    </row>
    <row r="102" ht="33" customHeight="1">
      <c r="A102" s="10" t="inlineStr">
        <is>
          <t>UAT-LBL-005</t>
        </is>
      </c>
      <c r="B102" s="5" t="inlineStr">
        <is>
          <t>พิมพ์ป้าย QR / Barcode</t>
        </is>
      </c>
      <c r="C102" s="5" t="inlineStr">
        <is>
          <t>พิมพ์ป้าย QR/Barcode</t>
        </is>
      </c>
      <c r="D102" s="5" t="inlineStr">
        <is>
          <t>เริ่มพิมพ์ที่ดวงที่ n (กระดาษใช้ไปบางส่วน)</t>
        </is>
      </c>
      <c r="E102" s="10" t="inlineStr">
        <is>
          <t>Functional</t>
        </is>
      </c>
      <c r="F102" s="5" t="inlineStr">
        <is>
          <t>มีกระดาษ A4 24 ดวงที่ใช้ไป 5 ดวง</t>
        </is>
      </c>
      <c r="G102" s="5" t="inlineStr">
        <is>
          <t>1. ตั้งค่า "เริ่มพิมพ์ที่ดวงที่" = 6
2. Print preview</t>
        </is>
      </c>
      <c r="H102" s="5" t="inlineStr">
        <is>
          <t>ดวงเริ่ม = 6</t>
        </is>
      </c>
      <c r="I102" s="5" t="inlineStr">
        <is>
          <t>ดวง 1–5 เว้นว่าง ป้ายแรกเริ่มที่ดวงที่ 6</t>
        </is>
      </c>
      <c r="J102" s="10" t="inlineStr">
        <is>
          <t>Medium</t>
        </is>
      </c>
      <c r="K102" s="5" t="inlineStr">
        <is>
          <t>ผู้จัดการทรัพย์สิน (asset.mgr)</t>
        </is>
      </c>
      <c r="L102" s="5" t="n"/>
      <c r="M102" s="10" t="inlineStr">
        <is>
          <t>ยังไม่ทดสอบ</t>
        </is>
      </c>
      <c r="N102" s="5" t="n"/>
      <c r="O102" s="18" t="n"/>
      <c r="P102" s="5" t="inlineStr">
        <is>
          <t>ยังไม่มีหน้าจอ mockup — ทดสอบตามข้อกำหนดจากระบบเดิม SmartEAM 360</t>
        </is>
      </c>
      <c r="Q102" s="5" t="inlineStr">
        <is>
          <t>— (ไม่มี mockup)</t>
        </is>
      </c>
    </row>
    <row r="103" ht="33" customHeight="1">
      <c r="A103" s="10" t="inlineStr">
        <is>
          <t>UAT-LBL-006</t>
        </is>
      </c>
      <c r="B103" s="5" t="inlineStr">
        <is>
          <t>พิมพ์ป้าย QR / Barcode</t>
        </is>
      </c>
      <c r="C103" s="5" t="inlineStr">
        <is>
          <t>พิมพ์ป้าย QR/Barcode</t>
        </is>
      </c>
      <c r="D103" s="5" t="inlineStr">
        <is>
          <t>ค่าดวงเริ่มเกินจำนวนดวงต่อแผ่น</t>
        </is>
      </c>
      <c r="E103" s="10" t="inlineStr">
        <is>
          <t>Validation</t>
        </is>
      </c>
      <c r="F103" s="5" t="inlineStr">
        <is>
          <t>เข้าสู่ระบบแล้ว</t>
        </is>
      </c>
      <c r="G103" s="5" t="inlineStr">
        <is>
          <t>1. ตั้งค่าดวงเริ่ม = 0 และ 30 (บน A4 24 ดวง)</t>
        </is>
      </c>
      <c r="H103" s="5" t="inlineStr">
        <is>
          <t>0, 30</t>
        </is>
      </c>
      <c r="I103" s="5" t="inlineStr">
        <is>
          <t>ระบบไม่ยอมรับค่า แสดงข้อความช่วงที่ถูกต้อง 1–24</t>
        </is>
      </c>
      <c r="J103" s="10" t="inlineStr">
        <is>
          <t>Low</t>
        </is>
      </c>
      <c r="K103" s="5" t="inlineStr">
        <is>
          <t>ผู้จัดการทรัพย์สิน (asset.mgr)</t>
        </is>
      </c>
      <c r="L103" s="5" t="n"/>
      <c r="M103" s="10" t="inlineStr">
        <is>
          <t>ยังไม่ทดสอบ</t>
        </is>
      </c>
      <c r="N103" s="5" t="n"/>
      <c r="O103" s="18" t="n"/>
      <c r="P103" s="5" t="inlineStr">
        <is>
          <t>ยังไม่มีหน้าจอ mockup — ทดสอบตามข้อกำหนดจากระบบเดิม SmartEAM 360</t>
        </is>
      </c>
      <c r="Q103" s="5" t="inlineStr">
        <is>
          <t>— (ไม่มี mockup)</t>
        </is>
      </c>
    </row>
    <row r="104" ht="47.5" customHeight="1">
      <c r="A104" s="10" t="inlineStr">
        <is>
          <t>UAT-LBL-007</t>
        </is>
      </c>
      <c r="B104" s="5" t="inlineStr">
        <is>
          <t>พิมพ์ป้าย QR / Barcode</t>
        </is>
      </c>
      <c r="C104" s="5" t="inlineStr">
        <is>
          <t>พิมพ์ป้าย QR/Barcode</t>
        </is>
      </c>
      <c r="D104" s="5" t="inlineStr">
        <is>
          <t>เปิด/ปิด Barcode และชื่อบริษัทบนป้าย</t>
        </is>
      </c>
      <c r="E104" s="10" t="inlineStr">
        <is>
          <t>Functional</t>
        </is>
      </c>
      <c r="F104" s="5" t="inlineStr">
        <is>
          <t>เข้าสู่ระบบแล้ว</t>
        </is>
      </c>
      <c r="G104" s="5" t="inlineStr">
        <is>
          <t>1. ยกเลิกติ๊ก Barcode
2. ยกเลิกติ๊ก ชื่อบริษัท
3. ดูตัวอย่าง</t>
        </is>
      </c>
      <c r="H104" s="5" t="inlineStr">
        <is>
          <t>-</t>
        </is>
      </c>
      <c r="I104" s="5" t="inlineStr">
        <is>
          <t>ป้ายแสดงเฉพาะ QR และ Tag เมื่อปิดตัวเลือก; ชื่อบริษัทดึงจากตั้งค่าระบบ</t>
        </is>
      </c>
      <c r="J104" s="10" t="inlineStr">
        <is>
          <t>Low</t>
        </is>
      </c>
      <c r="K104" s="5" t="inlineStr">
        <is>
          <t>ผู้จัดการทรัพย์สิน (asset.mgr)</t>
        </is>
      </c>
      <c r="L104" s="5" t="n"/>
      <c r="M104" s="10" t="inlineStr">
        <is>
          <t>ยังไม่ทดสอบ</t>
        </is>
      </c>
      <c r="N104" s="5" t="n"/>
      <c r="O104" s="18" t="n"/>
      <c r="P104" s="5" t="inlineStr">
        <is>
          <t>ยังไม่มีหน้าจอ mockup — ทดสอบตามข้อกำหนดจากระบบเดิม SmartEAM 360</t>
        </is>
      </c>
      <c r="Q104" s="5" t="inlineStr">
        <is>
          <t>— (ไม่มี mockup)</t>
        </is>
      </c>
    </row>
    <row r="105" ht="33" customHeight="1">
      <c r="A105" s="10" t="inlineStr">
        <is>
          <t>UAT-LBL-008</t>
        </is>
      </c>
      <c r="B105" s="5" t="inlineStr">
        <is>
          <t>พิมพ์ป้าย QR / Barcode</t>
        </is>
      </c>
      <c r="C105" s="5" t="inlineStr">
        <is>
          <t>พิมพ์ป้าย QR/Barcode</t>
        </is>
      </c>
      <c r="D105" s="5" t="inlineStr">
        <is>
          <t>สแกน QR บนป้ายที่พิมพ์</t>
        </is>
      </c>
      <c r="E105" s="10" t="inlineStr">
        <is>
          <t>Functional</t>
        </is>
      </c>
      <c r="F105" s="5" t="inlineStr">
        <is>
          <t>พิมพ์ป้ายแล้ว</t>
        </is>
      </c>
      <c r="G105" s="5" t="inlineStr">
        <is>
          <t>1. สแกน QR ด้วยมือถือ
2. ล็อกอินถ้ายังไม่ได้ล็อกอิน</t>
        </is>
      </c>
      <c r="H105" s="5" t="inlineStr">
        <is>
          <t>ป้าย CONV-03</t>
        </is>
      </c>
      <c r="I105" s="5" t="inlineStr">
        <is>
          <t>เปิดหน้าทรัพย์สิน CONV-03; ถ้ายังไม่ล็อกอินบังคับล็อกอินก่อน; Audit Log บันทึก qr_scan</t>
        </is>
      </c>
      <c r="J105" s="10" t="inlineStr">
        <is>
          <t>High</t>
        </is>
      </c>
      <c r="K105" s="5" t="inlineStr">
        <is>
          <t>ช่างซ่อมบำรุง (somchai)</t>
        </is>
      </c>
      <c r="L105" s="5" t="n"/>
      <c r="M105" s="10" t="inlineStr">
        <is>
          <t>ยังไม่ทดสอบ</t>
        </is>
      </c>
      <c r="N105" s="5" t="n"/>
      <c r="O105" s="18" t="n"/>
      <c r="P105" s="5" t="inlineStr">
        <is>
          <t>ยังไม่มีหน้าจอ mockup — ทดสอบตามข้อกำหนดจากระบบเดิม SmartEAM 360</t>
        </is>
      </c>
      <c r="Q105" s="5" t="inlineStr">
        <is>
          <t>— (ไม่มี mockup)</t>
        </is>
      </c>
    </row>
    <row r="106" ht="33" customHeight="1">
      <c r="A106" s="10" t="inlineStr">
        <is>
          <t>UAT-LBL-009</t>
        </is>
      </c>
      <c r="B106" s="5" t="inlineStr">
        <is>
          <t>พิมพ์ป้าย QR / Barcode</t>
        </is>
      </c>
      <c r="C106" s="5" t="inlineStr">
        <is>
          <t>พิมพ์ป้าย QR/Barcode</t>
        </is>
      </c>
      <c r="D106" s="5" t="inlineStr">
        <is>
          <t>สแกน Barcode ด้วยเครื่องอ่าน</t>
        </is>
      </c>
      <c r="E106" s="10" t="inlineStr">
        <is>
          <t>Functional</t>
        </is>
      </c>
      <c r="F106" s="5" t="inlineStr">
        <is>
          <t>พิมพ์ป้ายที่มี Barcode</t>
        </is>
      </c>
      <c r="G106" s="5" t="inlineStr">
        <is>
          <t>1. สแกน Barcode ด้วยเครื่องอ่าน USB ในช่องค้นหา</t>
        </is>
      </c>
      <c r="H106" s="5" t="inlineStr">
        <is>
          <t>-</t>
        </is>
      </c>
      <c r="I106" s="5" t="inlineStr">
        <is>
          <t>อ่านค่าเป็น Asset Tag (หรือ Barcode ที่กำหนดใน wizard) และค้นหาเจอ</t>
        </is>
      </c>
      <c r="J106" s="10" t="inlineStr">
        <is>
          <t>Medium</t>
        </is>
      </c>
      <c r="K106" s="5" t="inlineStr">
        <is>
          <t>ช่างซ่อมบำรุง (somchai)</t>
        </is>
      </c>
      <c r="L106" s="5" t="n"/>
      <c r="M106" s="10" t="inlineStr">
        <is>
          <t>ยังไม่ทดสอบ</t>
        </is>
      </c>
      <c r="N106" s="5" t="n"/>
      <c r="O106" s="18" t="n"/>
      <c r="P106" s="5" t="inlineStr">
        <is>
          <t>ยังไม่มีหน้าจอ mockup — ทดสอบตามข้อกำหนดจากระบบเดิม SmartEAM 360</t>
        </is>
      </c>
      <c r="Q106" s="5" t="inlineStr">
        <is>
          <t>— (ไม่มี mockup)</t>
        </is>
      </c>
    </row>
    <row r="107" ht="33" customHeight="1">
      <c r="A107" s="10" t="inlineStr">
        <is>
          <t>UAT-LBL-010</t>
        </is>
      </c>
      <c r="B107" s="5" t="inlineStr">
        <is>
          <t>พิมพ์ป้าย QR / Barcode</t>
        </is>
      </c>
      <c r="C107" s="5" t="inlineStr">
        <is>
          <t>พิมพ์ป้าย QR/Barcode</t>
        </is>
      </c>
      <c r="D107" s="5" t="inlineStr">
        <is>
          <t>บันทึก Audit การพิมพ์ป้าย</t>
        </is>
      </c>
      <c r="E107" s="10" t="inlineStr">
        <is>
          <t>Functional</t>
        </is>
      </c>
      <c r="F107" s="5" t="inlineStr">
        <is>
          <t>พิมพ์ป้ายแล้ว</t>
        </is>
      </c>
      <c r="G107" s="5" t="inlineStr">
        <is>
          <t>1. เปิด Audit Log กรอง action = print_label</t>
        </is>
      </c>
      <c r="H107" s="5" t="inlineStr">
        <is>
          <t>-</t>
        </is>
      </c>
      <c r="I107" s="5" t="inlineStr">
        <is>
          <t>มีรายการ print_label โมดูล assets พร้อมผู้ใช้และ IP</t>
        </is>
      </c>
      <c r="J107" s="10" t="inlineStr">
        <is>
          <t>Low</t>
        </is>
      </c>
      <c r="K107" s="5" t="inlineStr">
        <is>
          <t>ผู้ตรวจสอบ (auditor)</t>
        </is>
      </c>
      <c r="L107" s="5" t="n"/>
      <c r="M107" s="10" t="inlineStr">
        <is>
          <t>ยังไม่ทดสอบ</t>
        </is>
      </c>
      <c r="N107" s="5" t="n"/>
      <c r="O107" s="18" t="n"/>
      <c r="P107" s="5" t="inlineStr">
        <is>
          <t>ยังไม่มีหน้าจอ mockup — ทดสอบตามข้อกำหนดจากระบบเดิม SmartEAM 360</t>
        </is>
      </c>
      <c r="Q107" s="5" t="inlineStr">
        <is>
          <t>— (ไม่มี mockup)</t>
        </is>
      </c>
    </row>
    <row r="108" ht="33" customHeight="1">
      <c r="A108" s="10" t="inlineStr">
        <is>
          <t>UAT-LBL-011</t>
        </is>
      </c>
      <c r="B108" s="5" t="inlineStr">
        <is>
          <t>พิมพ์ป้าย QR / Barcode</t>
        </is>
      </c>
      <c r="C108" s="5" t="inlineStr">
        <is>
          <t>พิมพ์ป้าย QR/Barcode</t>
        </is>
      </c>
      <c r="D108" s="5" t="inlineStr">
        <is>
          <t>ผู้ไม่มีสิทธิ์พิมพ์ป้าย</t>
        </is>
      </c>
      <c r="E108" s="10" t="inlineStr">
        <is>
          <t>Permission</t>
        </is>
      </c>
      <c r="F108" s="5" t="inlineStr">
        <is>
          <t>ล็อกอินเป็นช่าง (ไม่มีสิทธิ์พิมพ์ป้าย QR/RFID)</t>
        </is>
      </c>
      <c r="G108" s="5" t="inlineStr">
        <is>
          <t>1. เปิด URL /assets/labels</t>
        </is>
      </c>
      <c r="H108" s="5" t="inlineStr">
        <is>
          <t>-</t>
        </is>
      </c>
      <c r="I108" s="5" t="inlineStr">
        <is>
          <t>ไม่มีเมนูและไม่สามารถพิมพ์ได้ แสดงข้อความไม่มีสิทธิ์</t>
        </is>
      </c>
      <c r="J108" s="10" t="inlineStr">
        <is>
          <t>Medium</t>
        </is>
      </c>
      <c r="K108" s="5" t="inlineStr">
        <is>
          <t>ช่างซ่อมบำรุง (somchai)</t>
        </is>
      </c>
      <c r="L108" s="5" t="n"/>
      <c r="M108" s="10" t="inlineStr">
        <is>
          <t>ยังไม่ทดสอบ</t>
        </is>
      </c>
      <c r="N108" s="5" t="n"/>
      <c r="O108" s="18" t="n"/>
      <c r="P108" s="5" t="inlineStr">
        <is>
          <t>ยังไม่มีหน้าจอ mockup — ทดสอบตามข้อกำหนดจากระบบเดิม SmartEAM 360</t>
        </is>
      </c>
      <c r="Q108" s="5" t="inlineStr">
        <is>
          <t>— (ไม่มี mockup)</t>
        </is>
      </c>
    </row>
    <row r="109" ht="33" customHeight="1">
      <c r="A109" s="10" t="inlineStr">
        <is>
          <t>UAT-LBL-012</t>
        </is>
      </c>
      <c r="B109" s="5" t="inlineStr">
        <is>
          <t>พิมพ์ป้าย QR / Barcode</t>
        </is>
      </c>
      <c r="C109" s="5" t="inlineStr">
        <is>
          <t>พิมพ์ป้าย QR/Barcode</t>
        </is>
      </c>
      <c r="D109" s="5" t="inlineStr">
        <is>
          <t>ป้ายภาษาไทยพิมพ์ไม่ตกหล่น</t>
        </is>
      </c>
      <c r="E109" s="10" t="inlineStr">
        <is>
          <t>UI</t>
        </is>
      </c>
      <c r="F109" s="5" t="inlineStr">
        <is>
          <t>เข้าสู่ระบบแล้ว</t>
        </is>
      </c>
      <c r="G109" s="5" t="inlineStr">
        <is>
          <t>1. พิมพ์ป้ายทรัพย์สินที่มีชื่อภาษาไทยยาว</t>
        </is>
      </c>
      <c r="H109" s="5" t="inlineStr">
        <is>
          <t>ชื่อ: เครื่องกำเนิดไฟฟ้าสำรอง 500 kVA</t>
        </is>
      </c>
      <c r="I109" s="5" t="inlineStr">
        <is>
          <t>สระ/วรรณยุกต์ไม่ลอย/ไม่ทับ ข้อความยาวตัดบรรทัดภายในป้ายโดยไม่หลุดขอบ</t>
        </is>
      </c>
      <c r="J109" s="10" t="inlineStr">
        <is>
          <t>Medium</t>
        </is>
      </c>
      <c r="K109" s="5" t="inlineStr">
        <is>
          <t>ผู้จัดการทรัพย์สิน (asset.mgr)</t>
        </is>
      </c>
      <c r="L109" s="5" t="n"/>
      <c r="M109" s="10" t="inlineStr">
        <is>
          <t>ยังไม่ทดสอบ</t>
        </is>
      </c>
      <c r="N109" s="5" t="n"/>
      <c r="O109" s="18" t="n"/>
      <c r="P109" s="5" t="inlineStr">
        <is>
          <t>ยังไม่มีหน้าจอ mockup — ทดสอบตามข้อกำหนดจากระบบเดิม SmartEAM 360</t>
        </is>
      </c>
      <c r="Q109" s="5" t="inlineStr">
        <is>
          <t>— (ไม่มี mockup)</t>
        </is>
      </c>
    </row>
    <row r="110" ht="47.5" customHeight="1">
      <c r="A110" s="10" t="inlineStr">
        <is>
          <t>UAT-FA-001</t>
        </is>
      </c>
      <c r="B110" s="5" t="inlineStr">
        <is>
          <t>สินทรัพย์ถาวร &amp; ค่าเสื่อมราคา</t>
        </is>
      </c>
      <c r="C110" s="5" t="inlineStr">
        <is>
          <t>สินทรัพย์ถาวร &amp; ค่าเสื่อมราคา</t>
        </is>
      </c>
      <c r="D110" s="5" t="inlineStr">
        <is>
          <t>แท็บภาพรวม: KPI และกราฟ</t>
        </is>
      </c>
      <c r="E110" s="10" t="inlineStr">
        <is>
          <t>UI</t>
        </is>
      </c>
      <c r="F110" s="5" t="inlineStr">
        <is>
          <t>เข้าสู่ระบบแล้ว</t>
        </is>
      </c>
      <c r="G110" s="5" t="inlineStr">
        <is>
          <t>1. เปิดหน้า สินทรัพย์ถาวร &amp; ค่าเสื่อมราคา</t>
        </is>
      </c>
      <c r="H110" s="5" t="inlineStr">
        <is>
          <t>-</t>
        </is>
      </c>
      <c r="I110" s="5" t="inlineStr">
        <is>
          <t>แสดง KPI สินทรัพย์ในสมุด, ราคาทุนรวม, ค่าเสื่อมสะสม, NBV, งวดล่าสุดที่ปิด; กราฟ "ค่าเสื่อมรายงวด 12 งวดล่าสุด" และ "ราคาทุน vs NBV ตามหมวด" แกนเดือน พ.ศ.</t>
        </is>
      </c>
      <c r="J110" s="10" t="inlineStr">
        <is>
          <t>Medium</t>
        </is>
      </c>
      <c r="K110" s="5" t="inlineStr">
        <is>
          <t>บัญชีสินทรัพย์ (account)</t>
        </is>
      </c>
      <c r="L110" s="5" t="n"/>
      <c r="M110" s="10" t="inlineStr">
        <is>
          <t>ยังไม่ทดสอบ</t>
        </is>
      </c>
      <c r="N110" s="5" t="n"/>
      <c r="O110" s="18" t="n"/>
      <c r="P110" s="5" t="n"/>
      <c r="Q110" s="5" t="inlineStr">
        <is>
          <t>cb49172a</t>
        </is>
      </c>
    </row>
    <row r="111" ht="33" customHeight="1">
      <c r="A111" s="10" t="inlineStr">
        <is>
          <t>UAT-FA-002</t>
        </is>
      </c>
      <c r="B111" s="5" t="inlineStr">
        <is>
          <t>สินทรัพย์ถาวร &amp; ค่าเสื่อมราคา</t>
        </is>
      </c>
      <c r="C111" s="5" t="inlineStr">
        <is>
          <t>สินทรัพย์ถาวร &amp; ค่าเสื่อมราคา</t>
        </is>
      </c>
      <c r="D111" s="5" t="inlineStr">
        <is>
          <t>สลับแท็บ ภาพรวม/สมุดค่าเสื่อม/งวดค่าเสื่อม/สมุดรายวัน</t>
        </is>
      </c>
      <c r="E111" s="10" t="inlineStr">
        <is>
          <t>Functional</t>
        </is>
      </c>
      <c r="F111" s="5" t="inlineStr">
        <is>
          <t>เข้าสู่ระบบแล้ว</t>
        </is>
      </c>
      <c r="G111" s="5" t="inlineStr">
        <is>
          <t>1. คลิกแต่ละแท็บตามลำดับ</t>
        </is>
      </c>
      <c r="H111" s="5" t="inlineStr">
        <is>
          <t>-</t>
        </is>
      </c>
      <c r="I111" s="5" t="inlineStr">
        <is>
          <t>เนื้อหาแท็บเปลี่ยนถูกต้อง แท็บ active ถูกไฮไลต์</t>
        </is>
      </c>
      <c r="J111" s="10" t="inlineStr">
        <is>
          <t>Low</t>
        </is>
      </c>
      <c r="K111" s="5" t="inlineStr">
        <is>
          <t>บัญชีสินทรัพย์ (account)</t>
        </is>
      </c>
      <c r="L111" s="5" t="n"/>
      <c r="M111" s="10" t="inlineStr">
        <is>
          <t>ยังไม่ทดสอบ</t>
        </is>
      </c>
      <c r="N111" s="5" t="n"/>
      <c r="O111" s="18" t="n"/>
      <c r="P111" s="5" t="n"/>
      <c r="Q111" s="5" t="inlineStr">
        <is>
          <t>cb49172a</t>
        </is>
      </c>
    </row>
    <row r="112" ht="33" customHeight="1">
      <c r="A112" s="10" t="inlineStr">
        <is>
          <t>UAT-FA-003</t>
        </is>
      </c>
      <c r="B112" s="5" t="inlineStr">
        <is>
          <t>สินทรัพย์ถาวร &amp; ค่าเสื่อมราคา</t>
        </is>
      </c>
      <c r="C112" s="5" t="inlineStr">
        <is>
          <t>สินทรัพย์ถาวร &amp; ค่าเสื่อมราคา</t>
        </is>
      </c>
      <c r="D112" s="5" t="inlineStr">
        <is>
          <t>สมุดค่าเสื่อม: คอลัมน์และการคำนวณ</t>
        </is>
      </c>
      <c r="E112" s="10" t="inlineStr">
        <is>
          <t>Functional</t>
        </is>
      </c>
      <c r="F112" s="5" t="inlineStr">
        <is>
          <t>มีสินทรัพย์ที่คิดค่าเสื่อม</t>
        </is>
      </c>
      <c r="G112" s="5" t="inlineStr">
        <is>
          <t>1. เปิดแท็บ สมุดค่าเสื่อม
2. ตรวจแถว เครื่อง CNC Mazak VCN-530C (เส้นตรง)</t>
        </is>
      </c>
      <c r="H112" s="5" t="inlineStr">
        <is>
          <t>-</t>
        </is>
      </c>
      <c r="I112" s="5" t="inlineStr">
        <is>
          <t>คอลัมน์ เลขครุภัณฑ์, ทรัพย์สิน, วิธี, ราคาทุน, ค่าเสื่อมสะสม, NBV, % ตัดแล้ว; NBV = ราคาทุน − ค่าเสื่อมสะสม; % ถูกต้อง</t>
        </is>
      </c>
      <c r="J112" s="10" t="inlineStr">
        <is>
          <t>High</t>
        </is>
      </c>
      <c r="K112" s="5" t="inlineStr">
        <is>
          <t>บัญชีสินทรัพย์ (account)</t>
        </is>
      </c>
      <c r="L112" s="5" t="n"/>
      <c r="M112" s="10" t="inlineStr">
        <is>
          <t>ยังไม่ทดสอบ</t>
        </is>
      </c>
      <c r="N112" s="5" t="n"/>
      <c r="O112" s="18" t="n"/>
      <c r="P112" s="5" t="n"/>
      <c r="Q112" s="5" t="inlineStr">
        <is>
          <t>cb49172a</t>
        </is>
      </c>
    </row>
    <row r="113" ht="33" customHeight="1">
      <c r="A113" s="10" t="inlineStr">
        <is>
          <t>UAT-FA-004</t>
        </is>
      </c>
      <c r="B113" s="5" t="inlineStr">
        <is>
          <t>สินทรัพย์ถาวร &amp; ค่าเสื่อมราคา</t>
        </is>
      </c>
      <c r="C113" s="5" t="inlineStr">
        <is>
          <t>สินทรัพย์ถาวร &amp; ค่าเสื่อมราคา</t>
        </is>
      </c>
      <c r="D113" s="5" t="inlineStr">
        <is>
          <t>ค่าเสื่อม 4 วิธี (เส้นตรง/ยอดลดลง/ผลรวมจำนวนปี/หน่วยผลิต)</t>
        </is>
      </c>
      <c r="E113" s="10" t="inlineStr">
        <is>
          <t>Functional</t>
        </is>
      </c>
      <c r="F113" s="5" t="inlineStr">
        <is>
          <t>มีสินทรัพย์แต่ละวิธีอย่างน้อย 1 รายการ</t>
        </is>
      </c>
      <c r="G113" s="5" t="inlineStr">
        <is>
          <t>1. ตรวจค่าเสื่อมงวดของแต่ละวิธีเทียบสูตรใน Excel</t>
        </is>
      </c>
      <c r="H113" s="5" t="inlineStr">
        <is>
          <t>เส้นตรง: ทุน 1,200,000 ซาก 0 อายุ 120 เดือน → 10,000/เดือน</t>
        </is>
      </c>
      <c r="I113" s="5" t="inlineStr">
        <is>
          <t>ค่าเสื่อมทุกวิธีตรงกับสูตรมาตรฐาน (ผลต่างปัดเศษ ≤ 0.01 บาท)</t>
        </is>
      </c>
      <c r="J113" s="10" t="inlineStr">
        <is>
          <t>High</t>
        </is>
      </c>
      <c r="K113" s="5" t="inlineStr">
        <is>
          <t>บัญชีสินทรัพย์ (account)</t>
        </is>
      </c>
      <c r="L113" s="5" t="n"/>
      <c r="M113" s="10" t="inlineStr">
        <is>
          <t>ยังไม่ทดสอบ</t>
        </is>
      </c>
      <c r="N113" s="5" t="n"/>
      <c r="O113" s="18" t="n"/>
      <c r="P113" s="5" t="n"/>
      <c r="Q113" s="5" t="inlineStr">
        <is>
          <t>cb49172a</t>
        </is>
      </c>
    </row>
    <row r="114" ht="47.5" customHeight="1">
      <c r="A114" s="10" t="inlineStr">
        <is>
          <t>UAT-FA-005</t>
        </is>
      </c>
      <c r="B114" s="5" t="inlineStr">
        <is>
          <t>สินทรัพย์ถาวร &amp; ค่าเสื่อมราคา</t>
        </is>
      </c>
      <c r="C114" s="5" t="inlineStr">
        <is>
          <t>สินทรัพย์ถาวร &amp; ค่าเสื่อมราคา</t>
        </is>
      </c>
      <c r="D114" s="5" t="inlineStr">
        <is>
          <t>ปิดงวดค่าเสื่อม ก.ย. 2569</t>
        </is>
      </c>
      <c r="E114" s="10" t="inlineStr">
        <is>
          <t>Functional</t>
        </is>
      </c>
      <c r="F114" s="5" t="inlineStr">
        <is>
          <t>งวด ก.ย. 2569 สถานะ "รอปิด"; มีสิทธิ์ ปิดงวดค่าเสื่อม</t>
        </is>
      </c>
      <c r="G114" s="5" t="inlineStr">
        <is>
          <t>1. คลิก "ปิดงวด ก.ย. 2569"
2. ตรวจหน้าต่างยืนยัน
3. กด "ยืนยันปิดงวด"</t>
        </is>
      </c>
      <c r="H114" s="5" t="inlineStr">
        <is>
          <t>-</t>
        </is>
      </c>
      <c r="I114" s="5" t="inlineStr">
        <is>
          <t>แสดง toast "✓ ปิดงวด ก.ย. 2569 แล้ว · สร้าง JV-69-xxxx"; สถานะงวดเป็น "ปิดแล้ว"; ปุ่มเปลี่ยนเป็น "ปิดงวด ต.ค. 2569"; สมุดรายวันมี JV ใหม่</t>
        </is>
      </c>
      <c r="J114" s="10" t="inlineStr">
        <is>
          <t>High</t>
        </is>
      </c>
      <c r="K114" s="5" t="inlineStr">
        <is>
          <t>บัญชีสินทรัพย์ (account)</t>
        </is>
      </c>
      <c r="L114" s="5" t="n"/>
      <c r="M114" s="10" t="inlineStr">
        <is>
          <t>ยังไม่ทดสอบ</t>
        </is>
      </c>
      <c r="N114" s="5" t="n"/>
      <c r="O114" s="18" t="n"/>
      <c r="P114" s="5" t="n"/>
      <c r="Q114" s="5" t="inlineStr">
        <is>
          <t>cb49172a</t>
        </is>
      </c>
    </row>
    <row r="115" ht="18.5" customHeight="1">
      <c r="A115" s="10" t="inlineStr">
        <is>
          <t>UAT-FA-006</t>
        </is>
      </c>
      <c r="B115" s="5" t="inlineStr">
        <is>
          <t>สินทรัพย์ถาวร &amp; ค่าเสื่อมราคา</t>
        </is>
      </c>
      <c r="C115" s="5" t="inlineStr">
        <is>
          <t>สินทรัพย์ถาวร &amp; ค่าเสื่อมราคา</t>
        </is>
      </c>
      <c r="D115" s="5" t="inlineStr">
        <is>
          <t>ยกเลิกการปิดงวดในหน้าต่างยืนยัน</t>
        </is>
      </c>
      <c r="E115" s="10" t="inlineStr">
        <is>
          <t>Negative</t>
        </is>
      </c>
      <c r="F115" s="5" t="inlineStr">
        <is>
          <t>เปิดหน้าต่างยืนยันปิดงวด</t>
        </is>
      </c>
      <c r="G115" s="5" t="inlineStr">
        <is>
          <t>1. กด "ยกเลิก"</t>
        </is>
      </c>
      <c r="H115" s="5" t="inlineStr">
        <is>
          <t>-</t>
        </is>
      </c>
      <c r="I115" s="5" t="inlineStr">
        <is>
          <t>ไม่มีการเปลี่ยนแปลงสถานะงวด/ไม่สร้าง JV</t>
        </is>
      </c>
      <c r="J115" s="10" t="inlineStr">
        <is>
          <t>Medium</t>
        </is>
      </c>
      <c r="K115" s="5" t="inlineStr">
        <is>
          <t>บัญชีสินทรัพย์ (account)</t>
        </is>
      </c>
      <c r="L115" s="5" t="n"/>
      <c r="M115" s="10" t="inlineStr">
        <is>
          <t>ยังไม่ทดสอบ</t>
        </is>
      </c>
      <c r="N115" s="5" t="n"/>
      <c r="O115" s="18" t="n"/>
      <c r="P115" s="5" t="n"/>
      <c r="Q115" s="5" t="inlineStr">
        <is>
          <t>cb49172a</t>
        </is>
      </c>
    </row>
    <row r="116" ht="33" customHeight="1">
      <c r="A116" s="10" t="inlineStr">
        <is>
          <t>UAT-FA-007</t>
        </is>
      </c>
      <c r="B116" s="5" t="inlineStr">
        <is>
          <t>สินทรัพย์ถาวร &amp; ค่าเสื่อมราคา</t>
        </is>
      </c>
      <c r="C116" s="5" t="inlineStr">
        <is>
          <t>สินทรัพย์ถาวร &amp; ค่าเสื่อมราคา</t>
        </is>
      </c>
      <c r="D116" s="5" t="inlineStr">
        <is>
          <t>ปิดงวดซ้ำหรือปิดข้ามงวด</t>
        </is>
      </c>
      <c r="E116" s="10" t="inlineStr">
        <is>
          <t>Negative</t>
        </is>
      </c>
      <c r="F116" s="5" t="inlineStr">
        <is>
          <t>งวด ส.ค. ปิดแล้ว, ก.ย. รอปิด</t>
        </is>
      </c>
      <c r="G116" s="5" t="inlineStr">
        <is>
          <t>1. พยายามปิดงวด ต.ค. 2569 ก่อนปิด ก.ย.
2. พยายามปิด ส.ค. ซ้ำ</t>
        </is>
      </c>
      <c r="H116" s="5" t="inlineStr">
        <is>
          <t>-</t>
        </is>
      </c>
      <c r="I116" s="5" t="inlineStr">
        <is>
          <t>ระบบไม่อนุญาต แจ้งให้ปิดงวดตามลำดับ/งวดนี้ปิดแล้ว</t>
        </is>
      </c>
      <c r="J116" s="10" t="inlineStr">
        <is>
          <t>High</t>
        </is>
      </c>
      <c r="K116" s="5" t="inlineStr">
        <is>
          <t>บัญชีสินทรัพย์ (account)</t>
        </is>
      </c>
      <c r="L116" s="5" t="n"/>
      <c r="M116" s="10" t="inlineStr">
        <is>
          <t>ยังไม่ทดสอบ</t>
        </is>
      </c>
      <c r="N116" s="5" t="n"/>
      <c r="O116" s="18" t="n"/>
      <c r="P116" s="5" t="n"/>
      <c r="Q116" s="5" t="inlineStr">
        <is>
          <t>cb49172a</t>
        </is>
      </c>
    </row>
    <row r="117" ht="33" customHeight="1">
      <c r="A117" s="10" t="inlineStr">
        <is>
          <t>UAT-FA-008</t>
        </is>
      </c>
      <c r="B117" s="5" t="inlineStr">
        <is>
          <t>สินทรัพย์ถาวร &amp; ค่าเสื่อมราคา</t>
        </is>
      </c>
      <c r="C117" s="5" t="inlineStr">
        <is>
          <t>สินทรัพย์ถาวร &amp; ค่าเสื่อมราคา</t>
        </is>
      </c>
      <c r="D117" s="5" t="inlineStr">
        <is>
          <t>สมุดรายวัน JV ค่าเสื่อม เดบิต=เครดิต</t>
        </is>
      </c>
      <c r="E117" s="10" t="inlineStr">
        <is>
          <t>Functional</t>
        </is>
      </c>
      <c r="F117" s="5" t="inlineStr">
        <is>
          <t>ปิดงวดแล้ว</t>
        </is>
      </c>
      <c r="G117" s="5" t="inlineStr">
        <is>
          <t>1. เปิดแท็บ สมุดรายวัน
2. ตรวจ JV ที่สร้าง</t>
        </is>
      </c>
      <c r="H117" s="5" t="inlineStr">
        <is>
          <t>-</t>
        </is>
      </c>
      <c r="I117" s="5" t="inlineStr">
        <is>
          <t>JV แสดง เลขที่, วันที่ พ.ศ., คำอธิบาย, เดบิต (ค่าเสื่อมราคา), เครดิต (ค่าเสื่อมสะสม) ยอดเท่ากัน; ใช้ผังบัญชีตามตั้งค่า GL</t>
        </is>
      </c>
      <c r="J117" s="10" t="inlineStr">
        <is>
          <t>High</t>
        </is>
      </c>
      <c r="K117" s="5" t="inlineStr">
        <is>
          <t>บัญชีสินทรัพย์ (account)</t>
        </is>
      </c>
      <c r="L117" s="5" t="n"/>
      <c r="M117" s="10" t="inlineStr">
        <is>
          <t>ยังไม่ทดสอบ</t>
        </is>
      </c>
      <c r="N117" s="5" t="n"/>
      <c r="O117" s="18" t="n"/>
      <c r="P117" s="5" t="n"/>
      <c r="Q117" s="5" t="inlineStr">
        <is>
          <t>cb49172a</t>
        </is>
      </c>
    </row>
    <row r="118" ht="47.5" customHeight="1">
      <c r="A118" s="10" t="inlineStr">
        <is>
          <t>UAT-FA-009</t>
        </is>
      </c>
      <c r="B118" s="5" t="inlineStr">
        <is>
          <t>สินทรัพย์ถาวร &amp; ค่าเสื่อมราคา</t>
        </is>
      </c>
      <c r="C118" s="5" t="inlineStr">
        <is>
          <t>สินทรัพย์ถาวร &amp; ค่าเสื่อมราคา</t>
        </is>
      </c>
      <c r="D118" s="5" t="inlineStr">
        <is>
          <t>เครื่องคิดค่าเสื่อม (Calculator)</t>
        </is>
      </c>
      <c r="E118" s="10" t="inlineStr">
        <is>
          <t>Functional</t>
        </is>
      </c>
      <c r="F118" s="5" t="inlineStr">
        <is>
          <t>เข้าสู่ระบบแล้ว</t>
        </is>
      </c>
      <c r="G118" s="5" t="inlineStr">
        <is>
          <t>1. กรอกราคาทุน มูลค่าซาก อายุ (ปี)
2. เลือกวิธี เส้นตรง
3. เปลี่ยนเป็น ยอดลดลงทวีคูณ</t>
        </is>
      </c>
      <c r="H118" s="5" t="inlineStr">
        <is>
          <t>ทุน 500,000; ซาก 50,000; อายุ 5 ปี</t>
        </is>
      </c>
      <c r="I118" s="5" t="inlineStr">
        <is>
          <t>กราฟและตารางรายปีอัปเดตทันที; เส้นตรง = 90,000/ปี; ยอดลดลงทวีคูณปีแรก 200,000; NBV ปีสุดท้ายไม่ต่ำกว่ามูลค่าซาก</t>
        </is>
      </c>
      <c r="J118" s="10" t="inlineStr">
        <is>
          <t>Medium</t>
        </is>
      </c>
      <c r="K118" s="5" t="inlineStr">
        <is>
          <t>บัญชีสินทรัพย์ (account)</t>
        </is>
      </c>
      <c r="L118" s="5" t="n"/>
      <c r="M118" s="10" t="inlineStr">
        <is>
          <t>ยังไม่ทดสอบ</t>
        </is>
      </c>
      <c r="N118" s="5" t="n"/>
      <c r="O118" s="18" t="n"/>
      <c r="P118" s="5" t="n"/>
      <c r="Q118" s="5" t="inlineStr">
        <is>
          <t>cb49172a</t>
        </is>
      </c>
    </row>
    <row r="119" ht="33" customHeight="1">
      <c r="A119" s="10" t="inlineStr">
        <is>
          <t>UAT-FA-010</t>
        </is>
      </c>
      <c r="B119" s="5" t="inlineStr">
        <is>
          <t>สินทรัพย์ถาวร &amp; ค่าเสื่อมราคา</t>
        </is>
      </c>
      <c r="C119" s="5" t="inlineStr">
        <is>
          <t>สินทรัพย์ถาวร &amp; ค่าเสื่อมราคา</t>
        </is>
      </c>
      <c r="D119" s="5" t="inlineStr">
        <is>
          <t>เครื่องคิดค่าเสื่อม: ค่าไม่ถูกต้อง</t>
        </is>
      </c>
      <c r="E119" s="10" t="inlineStr">
        <is>
          <t>Validation</t>
        </is>
      </c>
      <c r="F119" s="5" t="inlineStr">
        <is>
          <t>เข้าสู่ระบบแล้ว</t>
        </is>
      </c>
      <c r="G119" s="5" t="inlineStr">
        <is>
          <t>1. กรอกอายุ 0 ปี หรือ ซาก &gt; ทุน</t>
        </is>
      </c>
      <c r="H119" s="5" t="inlineStr">
        <is>
          <t>อายุ 0; ซาก 600,000</t>
        </is>
      </c>
      <c r="I119" s="5" t="inlineStr">
        <is>
          <t>แสดงข้อความแจ้งเตือน ไม่คำนวณค่าผิดพลาด (ไม่แสดง NaN/Infinity)</t>
        </is>
      </c>
      <c r="J119" s="10" t="inlineStr">
        <is>
          <t>Medium</t>
        </is>
      </c>
      <c r="K119" s="5" t="inlineStr">
        <is>
          <t>บัญชีสินทรัพย์ (account)</t>
        </is>
      </c>
      <c r="L119" s="5" t="n"/>
      <c r="M119" s="10" t="inlineStr">
        <is>
          <t>ยังไม่ทดสอบ</t>
        </is>
      </c>
      <c r="N119" s="5" t="n"/>
      <c r="O119" s="18" t="n"/>
      <c r="P119" s="5" t="n"/>
      <c r="Q119" s="5" t="inlineStr">
        <is>
          <t>cb49172a</t>
        </is>
      </c>
    </row>
    <row r="120" ht="47.5" customHeight="1">
      <c r="A120" s="10" t="inlineStr">
        <is>
          <t>UAT-FA-011</t>
        </is>
      </c>
      <c r="B120" s="5" t="inlineStr">
        <is>
          <t>สินทรัพย์ถาวร &amp; ค่าเสื่อมราคา</t>
        </is>
      </c>
      <c r="C120" s="5" t="inlineStr">
        <is>
          <t>สินทรัพย์ถาวร &amp; ค่าเสื่อมราคา</t>
        </is>
      </c>
      <c r="D120" s="5" t="inlineStr">
        <is>
          <t>ปรับปรุงมูลค่า (ตีราคาใหม่/ด้อยค่า)</t>
        </is>
      </c>
      <c r="E120" s="10" t="inlineStr">
        <is>
          <t>Functional</t>
        </is>
      </c>
      <c r="F120" s="5" t="inlineStr">
        <is>
          <t>มีสิทธิ์ จัดการค่าเสื่อม/บัญชี</t>
        </is>
      </c>
      <c r="G120" s="5" t="inlineStr">
        <is>
          <t>1. เลือกสินทรัพย์
2. บันทึกด้อยค่า 50,000 บาท
3. ตรวจ JV</t>
        </is>
      </c>
      <c r="H120" s="5" t="inlineStr">
        <is>
          <t>ด้อยค่า 50,000</t>
        </is>
      </c>
      <c r="I120" s="5" t="inlineStr">
        <is>
          <t>NBV ลดลง 50,000; JV เดบิต ขาดทุนจากการด้อยค่า (GL 5390); ค่าเสื่อมงวดถัดไปคำนวณใหม่</t>
        </is>
      </c>
      <c r="J120" s="10" t="inlineStr">
        <is>
          <t>Medium</t>
        </is>
      </c>
      <c r="K120" s="5" t="inlineStr">
        <is>
          <t>บัญชีสินทรัพย์ (account)</t>
        </is>
      </c>
      <c r="L120" s="5" t="n"/>
      <c r="M120" s="10" t="inlineStr">
        <is>
          <t>ยังไม่ทดสอบ</t>
        </is>
      </c>
      <c r="N120" s="5" t="n"/>
      <c r="O120" s="18" t="n"/>
      <c r="P120" s="5" t="inlineStr">
        <is>
          <t>แท็บ "ปรับปรุงมูลค่า" มีในระบบเดิม ยังไม่มีใน mockup</t>
        </is>
      </c>
      <c r="Q120" s="5" t="inlineStr">
        <is>
          <t>cb49172a</t>
        </is>
      </c>
    </row>
    <row r="121" ht="33" customHeight="1">
      <c r="A121" s="10" t="inlineStr">
        <is>
          <t>UAT-FA-012</t>
        </is>
      </c>
      <c r="B121" s="5" t="inlineStr">
        <is>
          <t>สินทรัพย์ถาวร &amp; ค่าเสื่อมราคา</t>
        </is>
      </c>
      <c r="C121" s="5" t="inlineStr">
        <is>
          <t>สินทรัพย์ถาวร &amp; ค่าเสื่อมราคา</t>
        </is>
      </c>
      <c r="D121" s="5" t="inlineStr">
        <is>
          <t>สินทรัพย์ที่จำหน่ายแล้วไม่คิดค่าเสื่อมต่อ</t>
        </is>
      </c>
      <c r="E121" s="10" t="inlineStr">
        <is>
          <t>Functional</t>
        </is>
      </c>
      <c r="F121" s="5" t="inlineStr">
        <is>
          <t>มีสินทรัพย์จำหน่ายแล้วในงวดนี้</t>
        </is>
      </c>
      <c r="G121" s="5" t="inlineStr">
        <is>
          <t>1. ปิดงวดถัดไป
2. ตรวจสมุดค่าเสื่อม</t>
        </is>
      </c>
      <c r="H121" s="5" t="inlineStr">
        <is>
          <t>-</t>
        </is>
      </c>
      <c r="I121" s="5" t="inlineStr">
        <is>
          <t>สินทรัพย์ที่จำหน่ายแล้วไม่ถูกคิดค่าเสื่อม และไม่รวมในกราฟราคาทุน vs NBV</t>
        </is>
      </c>
      <c r="J121" s="10" t="inlineStr">
        <is>
          <t>High</t>
        </is>
      </c>
      <c r="K121" s="5" t="inlineStr">
        <is>
          <t>บัญชีสินทรัพย์ (account)</t>
        </is>
      </c>
      <c r="L121" s="5" t="n"/>
      <c r="M121" s="10" t="inlineStr">
        <is>
          <t>ยังไม่ทดสอบ</t>
        </is>
      </c>
      <c r="N121" s="5" t="n"/>
      <c r="O121" s="18" t="n"/>
      <c r="P121" s="5" t="n"/>
      <c r="Q121" s="5" t="inlineStr">
        <is>
          <t>cb49172a</t>
        </is>
      </c>
    </row>
    <row r="122" ht="33" customHeight="1">
      <c r="A122" s="10" t="inlineStr">
        <is>
          <t>UAT-FA-013</t>
        </is>
      </c>
      <c r="B122" s="5" t="inlineStr">
        <is>
          <t>สินทรัพย์ถาวร &amp; ค่าเสื่อมราคา</t>
        </is>
      </c>
      <c r="C122" s="5" t="inlineStr">
        <is>
          <t>สินทรัพย์ถาวร &amp; ค่าเสื่อมราคา</t>
        </is>
      </c>
      <c r="D122" s="5" t="inlineStr">
        <is>
          <t>ส่งออกรายงานสำหรับผู้สอบบัญชี</t>
        </is>
      </c>
      <c r="E122" s="10" t="inlineStr">
        <is>
          <t>Functional</t>
        </is>
      </c>
      <c r="F122" s="5" t="inlineStr">
        <is>
          <t>เข้าสู่ระบบแล้ว</t>
        </is>
      </c>
      <c r="G122" s="5" t="inlineStr">
        <is>
          <t>1. เปิดรายงานบัญชีสินทรัพย์
2. ส่งออก Excel</t>
        </is>
      </c>
      <c r="H122" s="5" t="inlineStr">
        <is>
          <t>-</t>
        </is>
      </c>
      <c r="I122" s="5" t="inlineStr">
        <is>
          <t>ไฟล์มีทะเบียน ค่าเสื่อมรายงวด สะสม NBV ยอดรวมตรงหน้าจอ</t>
        </is>
      </c>
      <c r="J122" s="10" t="inlineStr">
        <is>
          <t>Medium</t>
        </is>
      </c>
      <c r="K122" s="5" t="inlineStr">
        <is>
          <t>ผู้ตรวจสอบ (auditor)</t>
        </is>
      </c>
      <c r="L122" s="5" t="n"/>
      <c r="M122" s="10" t="inlineStr">
        <is>
          <t>ยังไม่ทดสอบ</t>
        </is>
      </c>
      <c r="N122" s="5" t="n"/>
      <c r="O122" s="18" t="n"/>
      <c r="P122" s="5" t="inlineStr">
        <is>
          <t>แท็บ "รายงาน" มีในระบบเดิม</t>
        </is>
      </c>
      <c r="Q122" s="5" t="inlineStr">
        <is>
          <t>cb49172a</t>
        </is>
      </c>
    </row>
    <row r="123" ht="33" customHeight="1">
      <c r="A123" s="10" t="inlineStr">
        <is>
          <t>UAT-FA-014</t>
        </is>
      </c>
      <c r="B123" s="5" t="inlineStr">
        <is>
          <t>สินทรัพย์ถาวร &amp; ค่าเสื่อมราคา</t>
        </is>
      </c>
      <c r="C123" s="5" t="inlineStr">
        <is>
          <t>สินทรัพย์ถาวร &amp; ค่าเสื่อมราคา</t>
        </is>
      </c>
      <c r="D123" s="5" t="inlineStr">
        <is>
          <t>ผู้ไม่มีสิทธิ์ปิดงวด</t>
        </is>
      </c>
      <c r="E123" s="10" t="inlineStr">
        <is>
          <t>Permission</t>
        </is>
      </c>
      <c r="F123" s="5" t="inlineStr">
        <is>
          <t>ล็อกอินเป็น asset.mgr (ไม่มีสิทธิ์ close_period)</t>
        </is>
      </c>
      <c r="G123" s="5" t="inlineStr">
        <is>
          <t>1. เปิดหน้า
2. ตรวจปุ่มปิดงวด</t>
        </is>
      </c>
      <c r="H123" s="5" t="inlineStr">
        <is>
          <t>-</t>
        </is>
      </c>
      <c r="I123" s="5" t="inlineStr">
        <is>
          <t>ปุ่มปิดงวดถูกซ่อนหรือปิดใช้งาน</t>
        </is>
      </c>
      <c r="J123" s="10" t="inlineStr">
        <is>
          <t>High</t>
        </is>
      </c>
      <c r="K123" s="5" t="inlineStr">
        <is>
          <t>ผู้จัดการทรัพย์สิน (asset.mgr)</t>
        </is>
      </c>
      <c r="L123" s="5" t="n"/>
      <c r="M123" s="10" t="inlineStr">
        <is>
          <t>ยังไม่ทดสอบ</t>
        </is>
      </c>
      <c r="N123" s="5" t="n"/>
      <c r="O123" s="18" t="n"/>
      <c r="P123" s="5" t="n"/>
      <c r="Q123" s="5" t="inlineStr">
        <is>
          <t>cb49172a</t>
        </is>
      </c>
    </row>
    <row r="124" ht="33" customHeight="1">
      <c r="A124" s="10" t="inlineStr">
        <is>
          <t>UAT-FA-015</t>
        </is>
      </c>
      <c r="B124" s="5" t="inlineStr">
        <is>
          <t>สินทรัพย์ถาวร &amp; ค่าเสื่อมราคา</t>
        </is>
      </c>
      <c r="C124" s="5" t="inlineStr">
        <is>
          <t>สินทรัพย์ถาวร &amp; ค่าเสื่อมราคา</t>
        </is>
      </c>
      <c r="D124" s="5" t="inlineStr">
        <is>
          <t>ปิดงวดอัตโนมัติต้นเดือน (Cron)</t>
        </is>
      </c>
      <c r="E124" s="10" t="inlineStr">
        <is>
          <t>Functional</t>
        </is>
      </c>
      <c r="F124" s="5" t="inlineStr">
        <is>
          <t>ตั้งค่า "ปิดงวดค่าเสื่อมอัตโนมัติต้นเดือน" = เปิด</t>
        </is>
      </c>
      <c r="G124" s="5" t="inlineStr">
        <is>
          <t>1. รอ/สั่งรัน Cron dep_auto_close วันที่ 1 เวลา 02:00
2. ตรวจสถานะงวด</t>
        </is>
      </c>
      <c r="H124" s="5" t="inlineStr">
        <is>
          <t>-</t>
        </is>
      </c>
      <c r="I124" s="5" t="inlineStr">
        <is>
          <t>งวดเดือนก่อนถูกปิดอัตโนมัติและสร้าง JV; มีประวัติ Cron สำเร็จ</t>
        </is>
      </c>
      <c r="J124" s="10" t="inlineStr">
        <is>
          <t>Medium</t>
        </is>
      </c>
      <c r="K124" s="5" t="inlineStr">
        <is>
          <t>บัญชีสินทรัพย์ (account)</t>
        </is>
      </c>
      <c r="L124" s="5" t="n"/>
      <c r="M124" s="10" t="inlineStr">
        <is>
          <t>ยังไม่ทดสอบ</t>
        </is>
      </c>
      <c r="N124" s="5" t="n"/>
      <c r="O124" s="18" t="n"/>
      <c r="P124" s="5" t="n"/>
      <c r="Q124" s="5" t="inlineStr">
        <is>
          <t>cb49172a</t>
        </is>
      </c>
    </row>
    <row r="125" ht="47.5" customHeight="1">
      <c r="A125" s="10" t="inlineStr">
        <is>
          <t>UAT-FA-016</t>
        </is>
      </c>
      <c r="B125" s="5" t="inlineStr">
        <is>
          <t>สินทรัพย์ถาวร &amp; ค่าเสื่อมราคา</t>
        </is>
      </c>
      <c r="C125" s="5" t="inlineStr">
        <is>
          <t>สินทรัพย์ถาวร &amp; ค่าเสื่อมราคา</t>
        </is>
      </c>
      <c r="D125" s="5" t="inlineStr">
        <is>
          <t>ค้นหาไม่พบข้อมูล (สินทรัพย์ถาวร &amp; ค่าเสื่อมราคา)</t>
        </is>
      </c>
      <c r="E125" s="10" t="inlineStr">
        <is>
          <t>Negative</t>
        </is>
      </c>
      <c r="F125" s="5" t="inlineStr">
        <is>
          <t>เข้าสู่ระบบแล้ว และอยู่ที่หน้าสินทรัพย์ถาวร &amp; ค่าเสื่อมราคา</t>
        </is>
      </c>
      <c r="G125" s="5" t="inlineStr">
        <is>
          <t>1. พิมพ์คำค้นที่ไม่มีอยู่จริงในช่อง "ค้นหาเลขครุภัณฑ์ / ทรัพย์สิน / งวดบัญชี…"
2. สังเกตตาราง/รายการ</t>
        </is>
      </c>
      <c r="H125" s="5" t="inlineStr">
        <is>
          <t>คำค้น: ZZZ-NOTFOUND-999</t>
        </is>
      </c>
      <c r="I125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125" s="10" t="inlineStr">
        <is>
          <t>Low</t>
        </is>
      </c>
      <c r="K125" s="5" t="inlineStr">
        <is>
          <t>บัญชีสินทรัพย์ (account)</t>
        </is>
      </c>
      <c r="L125" s="5" t="n"/>
      <c r="M125" s="10" t="inlineStr">
        <is>
          <t>ยังไม่ทดสอบ</t>
        </is>
      </c>
      <c r="N125" s="5" t="n"/>
      <c r="O125" s="18" t="n"/>
      <c r="P125" s="5" t="n"/>
      <c r="Q125" s="5" t="inlineStr">
        <is>
          <t>cb49172a</t>
        </is>
      </c>
    </row>
    <row r="126" ht="47.5" customHeight="1">
      <c r="A126" s="10" t="inlineStr">
        <is>
          <t>UAT-FA-017</t>
        </is>
      </c>
      <c r="B126" s="5" t="inlineStr">
        <is>
          <t>สินทรัพย์ถาวร &amp; ค่าเสื่อมราคา</t>
        </is>
      </c>
      <c r="C126" s="5" t="inlineStr">
        <is>
          <t>สินทรัพย์ถาวร &amp; ค่าเสื่อมราคา</t>
        </is>
      </c>
      <c r="D126" s="5" t="inlineStr">
        <is>
          <t>ค้นหาด้วยคำค้นที่มีอยู่จริง (สินทรัพย์ถาวร &amp; ค่าเสื่อมราคา)</t>
        </is>
      </c>
      <c r="E126" s="10" t="inlineStr">
        <is>
          <t>Functional</t>
        </is>
      </c>
      <c r="F126" s="5" t="inlineStr">
        <is>
          <t>เข้าสู่ระบบแล้ว และอยู่ที่หน้าสินทรัพย์ถาวร &amp; ค่าเสื่อมราคา</t>
        </is>
      </c>
      <c r="G126" s="5" t="inlineStr">
        <is>
          <t>1. พิมพ์คำค้นในช่อง "ค้นหาเลขครุภัณฑ์ / ทรัพย์สิน / งวดบัญชี…"
2. ตรวจรายการที่แสดง
3. ล้างคำค้น</t>
        </is>
      </c>
      <c r="H126" s="5" t="inlineStr">
        <is>
          <t>คำค้น: CNC Mazak</t>
        </is>
      </c>
      <c r="I126" s="5" t="inlineStr">
        <is>
          <t>แสดงเฉพาะรายการที่ตรงกับคำค้น (แถวเครื่อง CNC Mazak VCN-530C); เมื่อล้างคำค้นรายการกลับมาครบ</t>
        </is>
      </c>
      <c r="J126" s="10" t="inlineStr">
        <is>
          <t>Medium</t>
        </is>
      </c>
      <c r="K126" s="5" t="inlineStr">
        <is>
          <t>บัญชีสินทรัพย์ (account)</t>
        </is>
      </c>
      <c r="L126" s="5" t="n"/>
      <c r="M126" s="10" t="inlineStr">
        <is>
          <t>ยังไม่ทดสอบ</t>
        </is>
      </c>
      <c r="N126" s="5" t="n"/>
      <c r="O126" s="18" t="n"/>
      <c r="P126" s="5" t="n"/>
      <c r="Q126" s="5" t="inlineStr">
        <is>
          <t>cb49172a</t>
        </is>
      </c>
    </row>
    <row r="127" ht="62" customHeight="1">
      <c r="A127" s="10" t="inlineStr">
        <is>
          <t>UAT-FA-018</t>
        </is>
      </c>
      <c r="B127" s="5" t="inlineStr">
        <is>
          <t>สินทรัพย์ถาวร &amp; ค่าเสื่อมราคา</t>
        </is>
      </c>
      <c r="C127" s="5" t="inlineStr">
        <is>
          <t>สินทรัพย์ถาวร &amp; ค่าเสื่อมราคา</t>
        </is>
      </c>
      <c r="D127" s="5" t="inlineStr">
        <is>
          <t>แสดงผลบนมือถือ 375px (สินทรัพย์ถาวร &amp; ค่าเสื่อมราคา)</t>
        </is>
      </c>
      <c r="E127" s="10" t="inlineStr">
        <is>
          <t>Responsive</t>
        </is>
      </c>
      <c r="F127" s="5" t="inlineStr">
        <is>
          <t>เข้าสู่ระบบแล้ว; เปิด DevTools โหมดอุปกรณ์ iPhone SE/375×667</t>
        </is>
      </c>
      <c r="G127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127" s="5" t="inlineStr">
        <is>
          <t>ความกว้าง 375px</t>
        </is>
      </c>
      <c r="I127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127" s="10" t="inlineStr">
        <is>
          <t>Medium</t>
        </is>
      </c>
      <c r="K127" s="5" t="inlineStr">
        <is>
          <t>บัญชีสินทรัพย์ (account)</t>
        </is>
      </c>
      <c r="L127" s="5" t="n"/>
      <c r="M127" s="10" t="inlineStr">
        <is>
          <t>ยังไม่ทดสอบ</t>
        </is>
      </c>
      <c r="N127" s="5" t="n"/>
      <c r="O127" s="18" t="n"/>
      <c r="P127" s="5" t="n"/>
      <c r="Q127" s="5" t="inlineStr">
        <is>
          <t>cb49172a</t>
        </is>
      </c>
    </row>
    <row r="128" ht="62" customHeight="1">
      <c r="A128" s="10" t="inlineStr">
        <is>
          <t>UAT-FA-019</t>
        </is>
      </c>
      <c r="B128" s="5" t="inlineStr">
        <is>
          <t>สินทรัพย์ถาวร &amp; ค่าเสื่อมราคา</t>
        </is>
      </c>
      <c r="C128" s="5" t="inlineStr">
        <is>
          <t>สินทรัพย์ถาวร &amp; ค่าเสื่อมราคา</t>
        </is>
      </c>
      <c r="D128" s="5" t="inlineStr">
        <is>
          <t>แสดงผลบน Desktop 1920px และความอ่านง่ายธีมมืด (สินทรัพย์ถาวร &amp; ค่าเสื่อมราคา)</t>
        </is>
      </c>
      <c r="E128" s="10" t="inlineStr">
        <is>
          <t>UI</t>
        </is>
      </c>
      <c r="F128" s="5" t="inlineStr">
        <is>
          <t>เข้าสู่ระบบแล้ว; หน้าจอ 1920×1080</t>
        </is>
      </c>
      <c r="G128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128" s="5" t="inlineStr">
        <is>
          <t>ความกว้าง 1920px</t>
        </is>
      </c>
      <c r="I128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128" s="10" t="inlineStr">
        <is>
          <t>Low</t>
        </is>
      </c>
      <c r="K128" s="5" t="inlineStr">
        <is>
          <t>บัญชีสินทรัพย์ (account)</t>
        </is>
      </c>
      <c r="L128" s="5" t="n"/>
      <c r="M128" s="10" t="inlineStr">
        <is>
          <t>ยังไม่ทดสอบ</t>
        </is>
      </c>
      <c r="N128" s="5" t="n"/>
      <c r="O128" s="18" t="n"/>
      <c r="P128" s="5" t="n"/>
      <c r="Q128" s="5" t="inlineStr">
        <is>
          <t>cb49172a</t>
        </is>
      </c>
    </row>
    <row r="129" ht="33" customHeight="1">
      <c r="A129" s="10" t="inlineStr">
        <is>
          <t>UAT-MOV-001</t>
        </is>
      </c>
      <c r="B129" s="5" t="inlineStr">
        <is>
          <t>โอนย้าย / ยืม-คืน / จำหน่าย</t>
        </is>
      </c>
      <c r="C129" s="5" t="inlineStr">
        <is>
          <t>โอนย้าย/ยืม-คืน/จำหน่าย</t>
        </is>
      </c>
      <c r="D129" s="5" t="inlineStr">
        <is>
          <t>สลับแท็บ โอนย้าย/ยืม-คืน/จำหน่าย และ KPI</t>
        </is>
      </c>
      <c r="E129" s="10" t="inlineStr">
        <is>
          <t>Functional</t>
        </is>
      </c>
      <c r="F129" s="5" t="inlineStr">
        <is>
          <t>เข้าสู่ระบบแล้ว</t>
        </is>
      </c>
      <c r="G129" s="5" t="inlineStr">
        <is>
          <t>1. คลิกแท็บ ยืม-คืน
2. คลิกแท็บ จำหน่าย</t>
        </is>
      </c>
      <c r="H129" s="5" t="inlineStr">
        <is>
          <t>-</t>
        </is>
      </c>
      <c r="I129" s="5" t="inlineStr">
        <is>
          <t>ตารางและ KPI เปลี่ยนตามแท็บ (เช่น คืนแล้ว 30 วัน, จำหน่ายปีนี้, กำไร/ขาดทุนสุทธิ); badge จำนวนรออนุมัติบนแท็บโอนย้าย</t>
        </is>
      </c>
      <c r="J129" s="10" t="inlineStr">
        <is>
          <t>Medium</t>
        </is>
      </c>
      <c r="K129" s="5" t="inlineStr">
        <is>
          <t>ผู้จัดการทรัพย์สิน (asset.mgr)</t>
        </is>
      </c>
      <c r="L129" s="5" t="n"/>
      <c r="M129" s="10" t="inlineStr">
        <is>
          <t>ยังไม่ทดสอบ</t>
        </is>
      </c>
      <c r="N129" s="5" t="n"/>
      <c r="O129" s="18" t="n"/>
      <c r="P129" s="5" t="n"/>
      <c r="Q129" s="5" t="inlineStr">
        <is>
          <t>58ee5614</t>
        </is>
      </c>
    </row>
    <row r="130" ht="62" customHeight="1">
      <c r="A130" s="10" t="inlineStr">
        <is>
          <t>UAT-MOV-002</t>
        </is>
      </c>
      <c r="B130" s="5" t="inlineStr">
        <is>
          <t>โอนย้าย / ยืม-คืน / จำหน่าย</t>
        </is>
      </c>
      <c r="C130" s="5" t="inlineStr">
        <is>
          <t>โอนย้าย/ยืม-คืน/จำหน่าย</t>
        </is>
      </c>
      <c r="D130" s="5" t="inlineStr">
        <is>
          <t>ขอโอนย้ายภายในไซต์ (1 ชั้นอนุมัติ)</t>
        </is>
      </c>
      <c r="E130" s="10" t="inlineStr">
        <is>
          <t>Functional</t>
        </is>
      </c>
      <c r="F130" s="5" t="inlineStr">
        <is>
          <t>มีสิทธิ์ ขอโอนย้าย</t>
        </is>
      </c>
      <c r="G130" s="5" t="inlineStr">
        <is>
          <t>1. คลิก "ขอโอนย้าย"
2. เลือกประเภท โอนย้าย, เลือกทรัพย์สิน (หลายรายการได้)
3. เลือกจาก/ไป และเหตุผล
4. บันทึก</t>
        </is>
      </c>
      <c r="H130" s="5" t="inlineStr">
        <is>
          <t>PRJ-EPS-01 โปรเจคเตอร์ Epson; จาก ฝ่ายขาย → ฝ่ายบุคคล (โรงงานสมุทรสาคร)</t>
        </is>
      </c>
      <c r="I130" s="5" t="inlineStr">
        <is>
          <t>สร้างคำขอสถานะ "รออนุมัติต้นทาง" ระบุ "ภายในไซต์ · 1 ชั้น"; ลำดับการอนุมัติแสดงใน drawer</t>
        </is>
      </c>
      <c r="J130" s="10" t="inlineStr">
        <is>
          <t>High</t>
        </is>
      </c>
      <c r="K130" s="5" t="inlineStr">
        <is>
          <t>ผู้จัดการทรัพย์สิน (asset.mgr)</t>
        </is>
      </c>
      <c r="L130" s="5" t="n"/>
      <c r="M130" s="10" t="inlineStr">
        <is>
          <t>ยังไม่ทดสอบ</t>
        </is>
      </c>
      <c r="N130" s="5" t="n"/>
      <c r="O130" s="18" t="n"/>
      <c r="P130" s="5" t="n"/>
      <c r="Q130" s="5" t="inlineStr">
        <is>
          <t>58ee5614</t>
        </is>
      </c>
    </row>
    <row r="131" ht="76.5" customHeight="1">
      <c r="A131" s="10" t="inlineStr">
        <is>
          <t>UAT-MOV-003</t>
        </is>
      </c>
      <c r="B131" s="5" t="inlineStr">
        <is>
          <t>โอนย้าย / ยืม-คืน / จำหน่าย</t>
        </is>
      </c>
      <c r="C131" s="5" t="inlineStr">
        <is>
          <t>โอนย้าย/ยืม-คืน/จำหน่าย</t>
        </is>
      </c>
      <c r="D131" s="5" t="inlineStr">
        <is>
          <t>ขอโอนย้ายข้ามไซต์ (2 ชั้นอนุมัติ)</t>
        </is>
      </c>
      <c r="E131" s="10" t="inlineStr">
        <is>
          <t>Functional</t>
        </is>
      </c>
      <c r="F131" s="5" t="inlineStr">
        <is>
          <t>มีสิทธิ์ ขอโอนย้าย</t>
        </is>
      </c>
      <c r="G131" s="5" t="inlineStr">
        <is>
          <t>1. สร้างคำขอจาก โรงงานสมุทรสาคร → โรงงานระยอง
2. หัวหน้าต้นทางอนุมัติ
3. หัวหน้าปลายทางอนุมัติ
4. ฝ่ายทรัพย์สิน "ปล่อยขนย้าย"
5. ปลายทาง "ยืนยันรับของ"</t>
        </is>
      </c>
      <c r="H131" s="5" t="inlineStr">
        <is>
          <t>คอมพิวเตอร์ HP ProDesk 400</t>
        </is>
      </c>
      <c r="I131" s="5" t="inlineStr">
        <is>
          <t>สถานะไล่ตามลำดับ รออนุมัติต้นทาง → รออนุมัติปลายทาง → อนุมัติครบ → ระหว่างขนย้าย → รับของแล้ว; แสดง "ข้ามไซต์ · 2 ชั้น"; ที่ตั้งในทะเบียนอัปเดตเมื่อรับของ</t>
        </is>
      </c>
      <c r="J131" s="10" t="inlineStr">
        <is>
          <t>High</t>
        </is>
      </c>
      <c r="K131" s="5" t="inlineStr">
        <is>
          <t>ผู้จัดการทรัพย์สิน (asset.mgr)</t>
        </is>
      </c>
      <c r="L131" s="5" t="n"/>
      <c r="M131" s="10" t="inlineStr">
        <is>
          <t>ยังไม่ทดสอบ</t>
        </is>
      </c>
      <c r="N131" s="5" t="n"/>
      <c r="O131" s="18" t="n"/>
      <c r="P131" s="5" t="n"/>
      <c r="Q131" s="5" t="inlineStr">
        <is>
          <t>58ee5614</t>
        </is>
      </c>
    </row>
    <row r="132" ht="33" customHeight="1">
      <c r="A132" s="10" t="inlineStr">
        <is>
          <t>UAT-MOV-004</t>
        </is>
      </c>
      <c r="B132" s="5" t="inlineStr">
        <is>
          <t>โอนย้าย / ยืม-คืน / จำหน่าย</t>
        </is>
      </c>
      <c r="C132" s="5" t="inlineStr">
        <is>
          <t>โอนย้าย/ยืม-คืน/จำหน่าย</t>
        </is>
      </c>
      <c r="D132" s="5" t="inlineStr">
        <is>
          <t>แบ่งแยกหน้าที่: ผู้ขออนุมัติเองไม่ได้</t>
        </is>
      </c>
      <c r="E132" s="10" t="inlineStr">
        <is>
          <t>Permission</t>
        </is>
      </c>
      <c r="F132" s="5" t="inlineStr">
        <is>
          <t>ผู้ใช้ปัจจุบันเป็นผู้สร้างคำขอ</t>
        </is>
      </c>
      <c r="G132" s="5" t="inlineStr">
        <is>
          <t>1. เปิด drawer คำขอของตนเอง
2. กด "อนุมัติ"</t>
        </is>
      </c>
      <c r="H132" s="5" t="inlineStr">
        <is>
          <t>-</t>
        </is>
      </c>
      <c r="I132" s="5" t="inlineStr">
        <is>
          <t>ระบบปฏิเสธ แสดง "ผู้ขออนุมัติเองไม่ได้ (แบ่งแยกหน้าที่)" และข้อความใน drawer "คุณเป็นผู้ขอรายการนี้ จึงอนุมัติเองไม่ได้"</t>
        </is>
      </c>
      <c r="J132" s="10" t="inlineStr">
        <is>
          <t>High</t>
        </is>
      </c>
      <c r="K132" s="5" t="inlineStr">
        <is>
          <t>ผู้จัดการทรัพย์สิน (asset.mgr)</t>
        </is>
      </c>
      <c r="L132" s="5" t="n"/>
      <c r="M132" s="10" t="inlineStr">
        <is>
          <t>ยังไม่ทดสอบ</t>
        </is>
      </c>
      <c r="N132" s="5" t="n"/>
      <c r="O132" s="18" t="n"/>
      <c r="P132" s="5" t="n"/>
      <c r="Q132" s="5" t="inlineStr">
        <is>
          <t>58ee5614</t>
        </is>
      </c>
    </row>
    <row r="133" ht="33" customHeight="1">
      <c r="A133" s="10" t="inlineStr">
        <is>
          <t>UAT-MOV-005</t>
        </is>
      </c>
      <c r="B133" s="5" t="inlineStr">
        <is>
          <t>โอนย้าย / ยืม-คืน / จำหน่าย</t>
        </is>
      </c>
      <c r="C133" s="5" t="inlineStr">
        <is>
          <t>โอนย้าย/ยืม-คืน/จำหน่าย</t>
        </is>
      </c>
      <c r="D133" s="5" t="inlineStr">
        <is>
          <t>ไม่อนุมัติคำขอโอนย้าย</t>
        </is>
      </c>
      <c r="E133" s="10" t="inlineStr">
        <is>
          <t>Functional</t>
        </is>
      </c>
      <c r="F133" s="5" t="inlineStr">
        <is>
          <t>มีคำขอรออนุมัติ; ล็อกอินเป็นผู้อนุมัติ</t>
        </is>
      </c>
      <c r="G133" s="5" t="inlineStr">
        <is>
          <t>1. คลิก "ไม่อนุมัติ" ที่แถว
2. ระบุเหตุผล</t>
        </is>
      </c>
      <c r="H133" s="5" t="inlineStr">
        <is>
          <t>-</t>
        </is>
      </c>
      <c r="I133" s="5" t="inlineStr">
        <is>
          <t>สถานะเป็น "ไม่อนุมัติ"; ประวัติบันทึกชื่อผู้ไม่อนุมัติ; ทรัพย์สินไม่ถูกย้าย</t>
        </is>
      </c>
      <c r="J133" s="10" t="inlineStr">
        <is>
          <t>High</t>
        </is>
      </c>
      <c r="K133" s="5" t="inlineStr">
        <is>
          <t>ผู้จัดการซ่อมบำรุง (maint.mgr)</t>
        </is>
      </c>
      <c r="L133" s="5" t="n"/>
      <c r="M133" s="10" t="inlineStr">
        <is>
          <t>ยังไม่ทดสอบ</t>
        </is>
      </c>
      <c r="N133" s="5" t="n"/>
      <c r="O133" s="18" t="n"/>
      <c r="P133" s="5" t="n"/>
      <c r="Q133" s="5" t="inlineStr">
        <is>
          <t>58ee5614</t>
        </is>
      </c>
    </row>
    <row r="134" ht="47.5" customHeight="1">
      <c r="A134" s="10" t="inlineStr">
        <is>
          <t>UAT-MOV-006</t>
        </is>
      </c>
      <c r="B134" s="5" t="inlineStr">
        <is>
          <t>โอนย้าย / ยืม-คืน / จำหน่าย</t>
        </is>
      </c>
      <c r="C134" s="5" t="inlineStr">
        <is>
          <t>โอนย้าย/ยืม-คืน/จำหน่าย</t>
        </is>
      </c>
      <c r="D134" s="5" t="inlineStr">
        <is>
          <t>กรองสถานะ (ค่าเริ่มต้น เฉพาะที่ยังไม่ปิด)</t>
        </is>
      </c>
      <c r="E134" s="10" t="inlineStr">
        <is>
          <t>Functional</t>
        </is>
      </c>
      <c r="F134" s="5" t="inlineStr">
        <is>
          <t>เข้าสู่ระบบแล้ว</t>
        </is>
      </c>
      <c r="G134" s="5" t="inlineStr">
        <is>
          <t>1. ตรวจค่าเริ่มต้น
2. เลือก "ทุกสถานะ"
3. เลือก "รับของแล้ว"</t>
        </is>
      </c>
      <c r="H134" s="5" t="inlineStr">
        <is>
          <t>-</t>
        </is>
      </c>
      <c r="I134" s="5" t="inlineStr">
        <is>
          <t>ค่าเริ่มต้นซ่อนรายการที่ปิดแล้ว; ตัวเลือกครบ (รออนุมัติต้นทาง, รออนุมัติปลายทาง, อนุมัติครบ, ระหว่างขนย้าย, รับของแล้ว, ไม่อนุมัติ, ยกเลิก)</t>
        </is>
      </c>
      <c r="J134" s="10" t="inlineStr">
        <is>
          <t>Medium</t>
        </is>
      </c>
      <c r="K134" s="5" t="inlineStr">
        <is>
          <t>ผู้จัดการทรัพย์สิน (asset.mgr)</t>
        </is>
      </c>
      <c r="L134" s="5" t="n"/>
      <c r="M134" s="10" t="inlineStr">
        <is>
          <t>ยังไม่ทดสอบ</t>
        </is>
      </c>
      <c r="N134" s="5" t="n"/>
      <c r="O134" s="18" t="n"/>
      <c r="P134" s="5" t="n"/>
      <c r="Q134" s="5" t="inlineStr">
        <is>
          <t>58ee5614</t>
        </is>
      </c>
    </row>
    <row r="135" ht="47.5" customHeight="1">
      <c r="A135" s="10" t="inlineStr">
        <is>
          <t>UAT-MOV-007</t>
        </is>
      </c>
      <c r="B135" s="5" t="inlineStr">
        <is>
          <t>โอนย้าย / ยืม-คืน / จำหน่าย</t>
        </is>
      </c>
      <c r="C135" s="5" t="inlineStr">
        <is>
          <t>โอนย้าย/ยืม-คืน/จำหน่าย</t>
        </is>
      </c>
      <c r="D135" s="5" t="inlineStr">
        <is>
          <t>บันทึกยืมทรัพย์สิน</t>
        </is>
      </c>
      <c r="E135" s="10" t="inlineStr">
        <is>
          <t>Functional</t>
        </is>
      </c>
      <c r="F135" s="5" t="inlineStr">
        <is>
          <t>มีสิทธิ์ บันทึกยืม</t>
        </is>
      </c>
      <c r="G135" s="5" t="inlineStr">
        <is>
          <t>1. แท็บ ยืม-คืน → "บันทึกยืม"
2. เลือกทรัพย์สิน ผู้ยืม วันยืม กำหนดคืน
3. บันทึก</t>
        </is>
      </c>
      <c r="H135" s="5" t="inlineStr">
        <is>
          <t>มัลติมิเตอร์ Fluke 87V; ผู้ยืม ศิริ แม่นยำ; กำหนดคืน 31/10/2569</t>
        </is>
      </c>
      <c r="I135" s="5" t="inlineStr">
        <is>
          <t>รายการสถานะ "กำลังยืม"; แสดงวันยืม/กำหนดคืน พ.ศ.; สถานะทรัพย์สินในทะเบียนเปลี่ยนเป็นถูกยืม</t>
        </is>
      </c>
      <c r="J135" s="10" t="inlineStr">
        <is>
          <t>High</t>
        </is>
      </c>
      <c r="K135" s="5" t="inlineStr">
        <is>
          <t>ผู้จัดการทรัพย์สิน (asset.mgr)</t>
        </is>
      </c>
      <c r="L135" s="5" t="n"/>
      <c r="M135" s="10" t="inlineStr">
        <is>
          <t>ยังไม่ทดสอบ</t>
        </is>
      </c>
      <c r="N135" s="5" t="n"/>
      <c r="O135" s="18" t="n"/>
      <c r="P135" s="5" t="n"/>
      <c r="Q135" s="5" t="inlineStr">
        <is>
          <t>58ee5614</t>
        </is>
      </c>
    </row>
    <row r="136" ht="33" customHeight="1">
      <c r="A136" s="10" t="inlineStr">
        <is>
          <t>UAT-MOV-008</t>
        </is>
      </c>
      <c r="B136" s="5" t="inlineStr">
        <is>
          <t>โอนย้าย / ยืม-คืน / จำหน่าย</t>
        </is>
      </c>
      <c r="C136" s="5" t="inlineStr">
        <is>
          <t>โอนย้าย/ยืม-คืน/จำหน่าย</t>
        </is>
      </c>
      <c r="D136" s="5" t="inlineStr">
        <is>
          <t>กำหนดคืนต้องไม่ก่อนวันยืม</t>
        </is>
      </c>
      <c r="E136" s="10" t="inlineStr">
        <is>
          <t>Validation</t>
        </is>
      </c>
      <c r="F136" s="5" t="inlineStr">
        <is>
          <t>เปิดฟอร์มบันทึกยืม</t>
        </is>
      </c>
      <c r="G136" s="5" t="inlineStr">
        <is>
          <t>1. กรอกกำหนดคืนก่อนวันยืม
2. บันทึก</t>
        </is>
      </c>
      <c r="H136" s="5" t="inlineStr">
        <is>
          <t>วันยืม 20/10/2569; คืน 15/10/2569</t>
        </is>
      </c>
      <c r="I136" s="5" t="inlineStr">
        <is>
          <t>ไม่บันทึก แสดงข้อความแจ้งเตือนวันที่ไม่ถูกต้อง</t>
        </is>
      </c>
      <c r="J136" s="10" t="inlineStr">
        <is>
          <t>Medium</t>
        </is>
      </c>
      <c r="K136" s="5" t="inlineStr">
        <is>
          <t>ผู้จัดการทรัพย์สิน (asset.mgr)</t>
        </is>
      </c>
      <c r="L136" s="5" t="n"/>
      <c r="M136" s="10" t="inlineStr">
        <is>
          <t>ยังไม่ทดสอบ</t>
        </is>
      </c>
      <c r="N136" s="5" t="n"/>
      <c r="O136" s="18" t="n"/>
      <c r="P136" s="5" t="n"/>
      <c r="Q136" s="5" t="inlineStr">
        <is>
          <t>58ee5614</t>
        </is>
      </c>
    </row>
    <row r="137" ht="33" customHeight="1">
      <c r="A137" s="10" t="inlineStr">
        <is>
          <t>UAT-MOV-009</t>
        </is>
      </c>
      <c r="B137" s="5" t="inlineStr">
        <is>
          <t>โอนย้าย / ยืม-คืน / จำหน่าย</t>
        </is>
      </c>
      <c r="C137" s="5" t="inlineStr">
        <is>
          <t>โอนย้าย/ยืม-คืน/จำหน่าย</t>
        </is>
      </c>
      <c r="D137" s="5" t="inlineStr">
        <is>
          <t>รับคืนทรัพย์สิน</t>
        </is>
      </c>
      <c r="E137" s="10" t="inlineStr">
        <is>
          <t>Functional</t>
        </is>
      </c>
      <c r="F137" s="5" t="inlineStr">
        <is>
          <t>มีรายการกำลังยืม</t>
        </is>
      </c>
      <c r="G137" s="5" t="inlineStr">
        <is>
          <t>1. คลิก "รับคืน"</t>
        </is>
      </c>
      <c r="H137" s="5" t="inlineStr">
        <is>
          <t>-</t>
        </is>
      </c>
      <c r="I137" s="5" t="inlineStr">
        <is>
          <t>toast "รับคืน … เรียบร้อย"; สถานะเป็น "คืนแล้ว"; ประวัติ "รับคืนโดย …"</t>
        </is>
      </c>
      <c r="J137" s="10" t="inlineStr">
        <is>
          <t>High</t>
        </is>
      </c>
      <c r="K137" s="5" t="inlineStr">
        <is>
          <t>ผู้จัดการทรัพย์สิน (asset.mgr)</t>
        </is>
      </c>
      <c r="L137" s="5" t="n"/>
      <c r="M137" s="10" t="inlineStr">
        <is>
          <t>ยังไม่ทดสอบ</t>
        </is>
      </c>
      <c r="N137" s="5" t="n"/>
      <c r="O137" s="18" t="n"/>
      <c r="P137" s="5" t="n"/>
      <c r="Q137" s="5" t="inlineStr">
        <is>
          <t>58ee5614</t>
        </is>
      </c>
    </row>
    <row r="138" ht="33" customHeight="1">
      <c r="A138" s="10" t="inlineStr">
        <is>
          <t>UAT-MOV-010</t>
        </is>
      </c>
      <c r="B138" s="5" t="inlineStr">
        <is>
          <t>โอนย้าย / ยืม-คืน / จำหน่าย</t>
        </is>
      </c>
      <c r="C138" s="5" t="inlineStr">
        <is>
          <t>โอนย้าย/ยืม-คืน/จำหน่าย</t>
        </is>
      </c>
      <c r="D138" s="5" t="inlineStr">
        <is>
          <t>แจ้งเตือนเกินกำหนดคืน</t>
        </is>
      </c>
      <c r="E138" s="10" t="inlineStr">
        <is>
          <t>Functional</t>
        </is>
      </c>
      <c r="F138" s="5" t="inlineStr">
        <is>
          <t>มีรายการยืมเลยกำหนดคืน</t>
        </is>
      </c>
      <c r="G138" s="5" t="inlineStr">
        <is>
          <t>1. รัน Cron checkout_overdue
2. ตรวจแท็บ ยืม-คืน</t>
        </is>
      </c>
      <c r="H138" s="5" t="inlineStr">
        <is>
          <t>-</t>
        </is>
      </c>
      <c r="I138" s="5" t="inlineStr">
        <is>
          <t>สถานะเปลี่ยนเป็น "เกินกำหนดคืน" แสดง "เกิน n วัน" สีแดง; ผู้ยืมได้รับการแจ้งเตือน</t>
        </is>
      </c>
      <c r="J138" s="10" t="inlineStr">
        <is>
          <t>Medium</t>
        </is>
      </c>
      <c r="K138" s="5" t="inlineStr">
        <is>
          <t>ผู้จัดการทรัพย์สิน (asset.mgr)</t>
        </is>
      </c>
      <c r="L138" s="5" t="n"/>
      <c r="M138" s="10" t="inlineStr">
        <is>
          <t>ยังไม่ทดสอบ</t>
        </is>
      </c>
      <c r="N138" s="5" t="n"/>
      <c r="O138" s="18" t="n"/>
      <c r="P138" s="5" t="n"/>
      <c r="Q138" s="5" t="inlineStr">
        <is>
          <t>58ee5614</t>
        </is>
      </c>
    </row>
    <row r="139" ht="47.5" customHeight="1">
      <c r="A139" s="10" t="inlineStr">
        <is>
          <t>UAT-MOV-011</t>
        </is>
      </c>
      <c r="B139" s="5" t="inlineStr">
        <is>
          <t>โอนย้าย / ยืม-คืน / จำหน่าย</t>
        </is>
      </c>
      <c r="C139" s="5" t="inlineStr">
        <is>
          <t>โอนย้าย/ยืม-คืน/จำหน่าย</t>
        </is>
      </c>
      <c r="D139" s="5" t="inlineStr">
        <is>
          <t>ขอจำหน่าย (ขาย) และลงบัญชีกำไร/ขาดทุนอัตโนมัติ</t>
        </is>
      </c>
      <c r="E139" s="10" t="inlineStr">
        <is>
          <t>Functional</t>
        </is>
      </c>
      <c r="F139" s="5" t="inlineStr">
        <is>
          <t>มีสิทธิ์ ขอจำหน่าย; ผู้อนุมัติต่างคน</t>
        </is>
      </c>
      <c r="G139" s="5" t="inlineStr">
        <is>
          <t>1. แท็บ จำหน่าย → "ขอจำหน่าย"
2. เลือกวิธี ขาย, ระบุราคาขาย
3. ผู้อนุมัติ (บัญชี) อนุมัติ</t>
        </is>
      </c>
      <c r="H139" s="5" t="inlineStr">
        <is>
          <t>เซิร์ฟเวอร์ Dell R430; NBV 8,000; ราคาขาย 12,000</t>
        </is>
      </c>
      <c r="I139" s="5" t="inlineStr">
        <is>
          <t>หลังอนุมัติสถานะ "จำหน่ายแล้ว"; toast "ลงบัญชีกำไร 4,000.00 บาท อัตโนมัติ"; ทะเบียนสถานะ จำหน่ายแล้ว; หยุดคิดค่าเสื่อม</t>
        </is>
      </c>
      <c r="J139" s="10" t="inlineStr">
        <is>
          <t>High</t>
        </is>
      </c>
      <c r="K139" s="5" t="inlineStr">
        <is>
          <t>บัญชีสินทรัพย์ (account)</t>
        </is>
      </c>
      <c r="L139" s="5" t="n"/>
      <c r="M139" s="10" t="inlineStr">
        <is>
          <t>ยังไม่ทดสอบ</t>
        </is>
      </c>
      <c r="N139" s="5" t="n"/>
      <c r="O139" s="18" t="n"/>
      <c r="P139" s="5" t="n"/>
      <c r="Q139" s="5" t="inlineStr">
        <is>
          <t>58ee5614</t>
        </is>
      </c>
    </row>
    <row r="140" ht="33" customHeight="1">
      <c r="A140" s="10" t="inlineStr">
        <is>
          <t>UAT-MOV-012</t>
        </is>
      </c>
      <c r="B140" s="5" t="inlineStr">
        <is>
          <t>โอนย้าย / ยืม-คืน / จำหน่าย</t>
        </is>
      </c>
      <c r="C140" s="5" t="inlineStr">
        <is>
          <t>โอนย้าย/ยืม-คืน/จำหน่าย</t>
        </is>
      </c>
      <c r="D140" s="5" t="inlineStr">
        <is>
          <t>จำหน่ายแบบทำลาย/บริจาค (ขาดทุน)</t>
        </is>
      </c>
      <c r="E140" s="10" t="inlineStr">
        <is>
          <t>Functional</t>
        </is>
      </c>
      <c r="F140" s="5" t="inlineStr">
        <is>
          <t>มีคำขอจำหน่ายวิธีทำลาย</t>
        </is>
      </c>
      <c r="G140" s="5" t="inlineStr">
        <is>
          <t>1. อนุมัติคำขอ</t>
        </is>
      </c>
      <c r="H140" s="5" t="inlineStr">
        <is>
          <t>NBV 3,500; ราคาขาย 0</t>
        </is>
      </c>
      <c r="I140" s="5" t="inlineStr">
        <is>
          <t>คอลัมน์กำไร/ขาดทุนแสดง -3,500.00 สีแดง; ลงบัญชีขาดทุน GL 5910</t>
        </is>
      </c>
      <c r="J140" s="10" t="inlineStr">
        <is>
          <t>Medium</t>
        </is>
      </c>
      <c r="K140" s="5" t="inlineStr">
        <is>
          <t>บัญชีสินทรัพย์ (account)</t>
        </is>
      </c>
      <c r="L140" s="5" t="n"/>
      <c r="M140" s="10" t="inlineStr">
        <is>
          <t>ยังไม่ทดสอบ</t>
        </is>
      </c>
      <c r="N140" s="5" t="n"/>
      <c r="O140" s="18" t="n"/>
      <c r="P140" s="5" t="n"/>
      <c r="Q140" s="5" t="inlineStr">
        <is>
          <t>58ee5614</t>
        </is>
      </c>
    </row>
    <row r="141" ht="33" customHeight="1">
      <c r="A141" s="10" t="inlineStr">
        <is>
          <t>UAT-MOV-013</t>
        </is>
      </c>
      <c r="B141" s="5" t="inlineStr">
        <is>
          <t>โอนย้าย / ยืม-คืน / จำหน่าย</t>
        </is>
      </c>
      <c r="C141" s="5" t="inlineStr">
        <is>
          <t>โอนย้าย/ยืม-คืน/จำหน่าย</t>
        </is>
      </c>
      <c r="D141" s="5" t="inlineStr">
        <is>
          <t>Drawer รายละเอียดและประวัติ</t>
        </is>
      </c>
      <c r="E141" s="10" t="inlineStr">
        <is>
          <t>Functional</t>
        </is>
      </c>
      <c r="F141" s="5" t="inlineStr">
        <is>
          <t>มีรายการ</t>
        </is>
      </c>
      <c r="G141" s="5" t="inlineStr">
        <is>
          <t>1. คลิกแถวรายการ</t>
        </is>
      </c>
      <c r="H141" s="5" t="inlineStr">
        <is>
          <t>-</t>
        </is>
      </c>
      <c r="I141" s="5" t="inlineStr">
        <is>
          <t>Drawer แสดง จาก/ไป, ชั้นอนุมัติ (เสร็จแล้ว/รอดำเนินการ/ถัดไป), เหตุผล, ประวัติพร้อมเวลา</t>
        </is>
      </c>
      <c r="J141" s="10" t="inlineStr">
        <is>
          <t>Medium</t>
        </is>
      </c>
      <c r="K141" s="5" t="inlineStr">
        <is>
          <t>ผู้จัดการทรัพย์สิน (asset.mgr)</t>
        </is>
      </c>
      <c r="L141" s="5" t="n"/>
      <c r="M141" s="10" t="inlineStr">
        <is>
          <t>ยังไม่ทดสอบ</t>
        </is>
      </c>
      <c r="N141" s="5" t="n"/>
      <c r="O141" s="18" t="n"/>
      <c r="P141" s="5" t="n"/>
      <c r="Q141" s="5" t="inlineStr">
        <is>
          <t>58ee5614</t>
        </is>
      </c>
    </row>
    <row r="142" ht="18.5" customHeight="1">
      <c r="A142" s="10" t="inlineStr">
        <is>
          <t>UAT-MOV-014</t>
        </is>
      </c>
      <c r="B142" s="5" t="inlineStr">
        <is>
          <t>โอนย้าย / ยืม-คืน / จำหน่าย</t>
        </is>
      </c>
      <c r="C142" s="5" t="inlineStr">
        <is>
          <t>โอนย้าย/ยืม-คืน/จำหน่าย</t>
        </is>
      </c>
      <c r="D142" s="5" t="inlineStr">
        <is>
          <t>ช่างไม่มีสิทธิ์อนุมัติจำหน่าย</t>
        </is>
      </c>
      <c r="E142" s="10" t="inlineStr">
        <is>
          <t>Permission</t>
        </is>
      </c>
      <c r="F142" s="5" t="inlineStr">
        <is>
          <t>ล็อกอินเป็นช่าง</t>
        </is>
      </c>
      <c r="G142" s="5" t="inlineStr">
        <is>
          <t>1. เปิดแท็บ จำหน่าย</t>
        </is>
      </c>
      <c r="H142" s="5" t="inlineStr">
        <is>
          <t>-</t>
        </is>
      </c>
      <c r="I142" s="5" t="inlineStr">
        <is>
          <t>ไม่เห็นปุ่มอนุมัติ/ขอจำหน่าย</t>
        </is>
      </c>
      <c r="J142" s="10" t="inlineStr">
        <is>
          <t>High</t>
        </is>
      </c>
      <c r="K142" s="5" t="inlineStr">
        <is>
          <t>ช่างซ่อมบำรุง (somchai)</t>
        </is>
      </c>
      <c r="L142" s="5" t="n"/>
      <c r="M142" s="10" t="inlineStr">
        <is>
          <t>ยังไม่ทดสอบ</t>
        </is>
      </c>
      <c r="N142" s="5" t="n"/>
      <c r="O142" s="18" t="n"/>
      <c r="P142" s="5" t="n"/>
      <c r="Q142" s="5" t="inlineStr">
        <is>
          <t>58ee5614</t>
        </is>
      </c>
    </row>
    <row r="143" ht="33" customHeight="1">
      <c r="A143" s="10" t="inlineStr">
        <is>
          <t>UAT-MOV-015</t>
        </is>
      </c>
      <c r="B143" s="5" t="inlineStr">
        <is>
          <t>โอนย้าย / ยืม-คืน / จำหน่าย</t>
        </is>
      </c>
      <c r="C143" s="5" t="inlineStr">
        <is>
          <t>โอนย้าย/ยืม-คืน/จำหน่าย</t>
        </is>
      </c>
      <c r="D143" s="5" t="inlineStr">
        <is>
          <t>ยกเลิกคำขอโดยผู้ขอ</t>
        </is>
      </c>
      <c r="E143" s="10" t="inlineStr">
        <is>
          <t>Functional</t>
        </is>
      </c>
      <c r="F143" s="5" t="inlineStr">
        <is>
          <t>มีคำขอสถานะรออนุมัติของตนเอง</t>
        </is>
      </c>
      <c r="G143" s="5" t="inlineStr">
        <is>
          <t>1. เปิด drawer
2. กดยกเลิก</t>
        </is>
      </c>
      <c r="H143" s="5" t="inlineStr">
        <is>
          <t>-</t>
        </is>
      </c>
      <c r="I143" s="5" t="inlineStr">
        <is>
          <t>สถานะเป็น "ยกเลิก" และไม่สามารถอนุมัติต่อได้</t>
        </is>
      </c>
      <c r="J143" s="10" t="inlineStr">
        <is>
          <t>Medium</t>
        </is>
      </c>
      <c r="K143" s="5" t="inlineStr">
        <is>
          <t>ผู้จัดการทรัพย์สิน (asset.mgr)</t>
        </is>
      </c>
      <c r="L143" s="5" t="n"/>
      <c r="M143" s="10" t="inlineStr">
        <is>
          <t>ยังไม่ทดสอบ</t>
        </is>
      </c>
      <c r="N143" s="5" t="n"/>
      <c r="O143" s="18" t="n"/>
      <c r="P143" s="5" t="n"/>
      <c r="Q143" s="5" t="inlineStr">
        <is>
          <t>58ee5614</t>
        </is>
      </c>
    </row>
    <row r="144" ht="33" customHeight="1">
      <c r="A144" s="10" t="inlineStr">
        <is>
          <t>UAT-MOV-016</t>
        </is>
      </c>
      <c r="B144" s="5" t="inlineStr">
        <is>
          <t>โอนย้าย / ยืม-คืน / จำหน่าย</t>
        </is>
      </c>
      <c r="C144" s="5" t="inlineStr">
        <is>
          <t>โอนย้าย/ยืม-คืน/จำหน่าย</t>
        </is>
      </c>
      <c r="D144" s="5" t="inlineStr">
        <is>
          <t>ฟอร์มสร้างรายการ: ไม่เลือกทรัพย์สิน</t>
        </is>
      </c>
      <c r="E144" s="10" t="inlineStr">
        <is>
          <t>Validation</t>
        </is>
      </c>
      <c r="F144" s="5" t="inlineStr">
        <is>
          <t>เปิดฟอร์มสร้างรายการเคลื่อนไหว</t>
        </is>
      </c>
      <c r="G144" s="5" t="inlineStr">
        <is>
          <t>1. ไม่เลือกทรัพย์สิน
2. บันทึก</t>
        </is>
      </c>
      <c r="H144" s="5" t="inlineStr">
        <is>
          <t>-</t>
        </is>
      </c>
      <c r="I144" s="5" t="inlineStr">
        <is>
          <t>แจ้งให้เลือกทรัพย์สินอย่างน้อย 1 รายการ</t>
        </is>
      </c>
      <c r="J144" s="10" t="inlineStr">
        <is>
          <t>Medium</t>
        </is>
      </c>
      <c r="K144" s="5" t="inlineStr">
        <is>
          <t>ผู้จัดการทรัพย์สิน (asset.mgr)</t>
        </is>
      </c>
      <c r="L144" s="5" t="n"/>
      <c r="M144" s="10" t="inlineStr">
        <is>
          <t>ยังไม่ทดสอบ</t>
        </is>
      </c>
      <c r="N144" s="5" t="n"/>
      <c r="O144" s="18" t="n"/>
      <c r="P144" s="5" t="n"/>
      <c r="Q144" s="5" t="inlineStr">
        <is>
          <t>58ee5614</t>
        </is>
      </c>
    </row>
    <row r="145" ht="33" customHeight="1">
      <c r="A145" s="10" t="inlineStr">
        <is>
          <t>UAT-MOV-017</t>
        </is>
      </c>
      <c r="B145" s="5" t="inlineStr">
        <is>
          <t>โอนย้าย / ยืม-คืน / จำหน่าย</t>
        </is>
      </c>
      <c r="C145" s="5" t="inlineStr">
        <is>
          <t>โอนย้าย/ยืม-คืน/จำหน่าย</t>
        </is>
      </c>
      <c r="D145" s="5" t="inlineStr">
        <is>
          <t>ค้นหาไม่พบข้อมูล (โอนย้าย/ยืม-คืน/จำหน่าย)</t>
        </is>
      </c>
      <c r="E145" s="10" t="inlineStr">
        <is>
          <t>Negative</t>
        </is>
      </c>
      <c r="F145" s="5" t="inlineStr">
        <is>
          <t>เข้าสู่ระบบแล้ว และอยู่ที่หน้าโอนย้าย/ยืม-คืน/จำหน่าย</t>
        </is>
      </c>
      <c r="G145" s="5" t="inlineStr">
        <is>
          <t>1. พิมพ์คำค้นที่ไม่มีอยู่จริงในช่อง "ค้นหา เลขที่ / Tag / ชื่อ"
2. สังเกตตาราง/รายการ</t>
        </is>
      </c>
      <c r="H145" s="5" t="inlineStr">
        <is>
          <t>คำค้น: ZZZ-NOTFOUND-999</t>
        </is>
      </c>
      <c r="I145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145" s="10" t="inlineStr">
        <is>
          <t>Low</t>
        </is>
      </c>
      <c r="K145" s="5" t="inlineStr">
        <is>
          <t>ผู้จัดการทรัพย์สิน (asset.mgr)</t>
        </is>
      </c>
      <c r="L145" s="5" t="n"/>
      <c r="M145" s="10" t="inlineStr">
        <is>
          <t>ยังไม่ทดสอบ</t>
        </is>
      </c>
      <c r="N145" s="5" t="n"/>
      <c r="O145" s="18" t="n"/>
      <c r="P145" s="5" t="n"/>
      <c r="Q145" s="5" t="inlineStr">
        <is>
          <t>58ee5614</t>
        </is>
      </c>
    </row>
    <row r="146" ht="47.5" customHeight="1">
      <c r="A146" s="10" t="inlineStr">
        <is>
          <t>UAT-MOV-018</t>
        </is>
      </c>
      <c r="B146" s="5" t="inlineStr">
        <is>
          <t>โอนย้าย / ยืม-คืน / จำหน่าย</t>
        </is>
      </c>
      <c r="C146" s="5" t="inlineStr">
        <is>
          <t>โอนย้าย/ยืม-คืน/จำหน่าย</t>
        </is>
      </c>
      <c r="D146" s="5" t="inlineStr">
        <is>
          <t>ค้นหาด้วยคำค้นที่มีอยู่จริง (โอนย้าย/ยืม-คืน/จำหน่าย)</t>
        </is>
      </c>
      <c r="E146" s="10" t="inlineStr">
        <is>
          <t>Functional</t>
        </is>
      </c>
      <c r="F146" s="5" t="inlineStr">
        <is>
          <t>เข้าสู่ระบบแล้ว และอยู่ที่หน้าโอนย้าย/ยืม-คืน/จำหน่าย</t>
        </is>
      </c>
      <c r="G146" s="5" t="inlineStr">
        <is>
          <t>1. พิมพ์คำค้นในช่อง "ค้นหา เลขที่ / Tag / ชื่อ"
2. ตรวจรายการที่แสดง
3. ล้างคำค้น</t>
        </is>
      </c>
      <c r="H146" s="5" t="inlineStr">
        <is>
          <t>คำค้น: Epson</t>
        </is>
      </c>
      <c r="I146" s="5" t="inlineStr">
        <is>
          <t>แสดงเฉพาะรายการที่ตรงกับคำค้น (รายการโอนย้ายโปรเจคเตอร์ Epson EB-X51); เมื่อล้างคำค้นรายการกลับมาครบ</t>
        </is>
      </c>
      <c r="J146" s="10" t="inlineStr">
        <is>
          <t>Medium</t>
        </is>
      </c>
      <c r="K146" s="5" t="inlineStr">
        <is>
          <t>ผู้จัดการทรัพย์สิน (asset.mgr)</t>
        </is>
      </c>
      <c r="L146" s="5" t="n"/>
      <c r="M146" s="10" t="inlineStr">
        <is>
          <t>ยังไม่ทดสอบ</t>
        </is>
      </c>
      <c r="N146" s="5" t="n"/>
      <c r="O146" s="18" t="n"/>
      <c r="P146" s="5" t="n"/>
      <c r="Q146" s="5" t="inlineStr">
        <is>
          <t>58ee5614</t>
        </is>
      </c>
    </row>
    <row r="147" ht="62" customHeight="1">
      <c r="A147" s="10" t="inlineStr">
        <is>
          <t>UAT-MOV-019</t>
        </is>
      </c>
      <c r="B147" s="5" t="inlineStr">
        <is>
          <t>โอนย้าย / ยืม-คืน / จำหน่าย</t>
        </is>
      </c>
      <c r="C147" s="5" t="inlineStr">
        <is>
          <t>โอนย้าย/ยืม-คืน/จำหน่าย</t>
        </is>
      </c>
      <c r="D147" s="5" t="inlineStr">
        <is>
          <t>แสดงผลบนมือถือ 375px (โอนย้าย/ยืม-คืน/จำหน่าย)</t>
        </is>
      </c>
      <c r="E147" s="10" t="inlineStr">
        <is>
          <t>Responsive</t>
        </is>
      </c>
      <c r="F147" s="5" t="inlineStr">
        <is>
          <t>เข้าสู่ระบบแล้ว; เปิด DevTools โหมดอุปกรณ์ iPhone SE/375×667</t>
        </is>
      </c>
      <c r="G147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147" s="5" t="inlineStr">
        <is>
          <t>ความกว้าง 375px</t>
        </is>
      </c>
      <c r="I147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147" s="10" t="inlineStr">
        <is>
          <t>Medium</t>
        </is>
      </c>
      <c r="K147" s="5" t="inlineStr">
        <is>
          <t>ผู้จัดการทรัพย์สิน (asset.mgr)</t>
        </is>
      </c>
      <c r="L147" s="5" t="n"/>
      <c r="M147" s="10" t="inlineStr">
        <is>
          <t>ยังไม่ทดสอบ</t>
        </is>
      </c>
      <c r="N147" s="5" t="n"/>
      <c r="O147" s="18" t="n"/>
      <c r="P147" s="5" t="n"/>
      <c r="Q147" s="5" t="inlineStr">
        <is>
          <t>58ee5614</t>
        </is>
      </c>
    </row>
    <row r="148" ht="62" customHeight="1">
      <c r="A148" s="10" t="inlineStr">
        <is>
          <t>UAT-MOV-020</t>
        </is>
      </c>
      <c r="B148" s="5" t="inlineStr">
        <is>
          <t>โอนย้าย / ยืม-คืน / จำหน่าย</t>
        </is>
      </c>
      <c r="C148" s="5" t="inlineStr">
        <is>
          <t>โอนย้าย/ยืม-คืน/จำหน่าย</t>
        </is>
      </c>
      <c r="D148" s="5" t="inlineStr">
        <is>
          <t>แสดงผลบน Desktop 1920px และความอ่านง่ายธีมมืด (โอนย้าย/ยืม-คืน/จำหน่าย)</t>
        </is>
      </c>
      <c r="E148" s="10" t="inlineStr">
        <is>
          <t>UI</t>
        </is>
      </c>
      <c r="F148" s="5" t="inlineStr">
        <is>
          <t>เข้าสู่ระบบแล้ว; หน้าจอ 1920×1080</t>
        </is>
      </c>
      <c r="G148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148" s="5" t="inlineStr">
        <is>
          <t>ความกว้าง 1920px</t>
        </is>
      </c>
      <c r="I148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148" s="10" t="inlineStr">
        <is>
          <t>Low</t>
        </is>
      </c>
      <c r="K148" s="5" t="inlineStr">
        <is>
          <t>ผู้จัดการทรัพย์สิน (asset.mgr)</t>
        </is>
      </c>
      <c r="L148" s="5" t="n"/>
      <c r="M148" s="10" t="inlineStr">
        <is>
          <t>ยังไม่ทดสอบ</t>
        </is>
      </c>
      <c r="N148" s="5" t="n"/>
      <c r="O148" s="18" t="n"/>
      <c r="P148" s="5" t="n"/>
      <c r="Q148" s="5" t="inlineStr">
        <is>
          <t>58ee5614</t>
        </is>
      </c>
    </row>
    <row r="149" ht="47.5" customHeight="1">
      <c r="A149" s="10" t="inlineStr">
        <is>
          <t>UAT-ITAM-001</t>
        </is>
      </c>
      <c r="B149" s="5" t="inlineStr">
        <is>
          <t>IT Asset &amp; License</t>
        </is>
      </c>
      <c r="C149" s="5" t="inlineStr">
        <is>
          <t>IT Asset &amp; License</t>
        </is>
      </c>
      <c r="D149" s="5" t="inlineStr">
        <is>
          <t>แท็บภาพรวม: KPI อุปกรณ์และไลเซนส์</t>
        </is>
      </c>
      <c r="E149" s="10" t="inlineStr">
        <is>
          <t>UI</t>
        </is>
      </c>
      <c r="F149" s="5" t="inlineStr">
        <is>
          <t>เข้าสู่ระบบแล้ว</t>
        </is>
      </c>
      <c r="G149" s="5" t="inlineStr">
        <is>
          <t>1. เปิดหน้า IT Asset &amp; License</t>
        </is>
      </c>
      <c r="H149" s="5" t="inlineStr">
        <is>
          <t>-</t>
        </is>
      </c>
      <c r="I149" s="5" t="inlineStr">
        <is>
          <t>KPI อุปกรณ์ IT 11, ไม่รายงานตัว 30 วัน 1, OS หมดการสนับสนุน 1, หมดประกัน 2; ไลเซนส์ 9, ใกล้หมดอายุ 3, เกินสิทธิ์, ค่า Subscription/ปี</t>
        </is>
      </c>
      <c r="J149" s="10" t="inlineStr">
        <is>
          <t>Medium</t>
        </is>
      </c>
      <c r="K149" s="5" t="inlineStr">
        <is>
          <t>ผู้ดูแลระบบ IT (it.admin)</t>
        </is>
      </c>
      <c r="L149" s="5" t="n"/>
      <c r="M149" s="10" t="inlineStr">
        <is>
          <t>ยังไม่ทดสอบ</t>
        </is>
      </c>
      <c r="N149" s="5" t="n"/>
      <c r="O149" s="18" t="n"/>
      <c r="P149" s="5" t="n"/>
      <c r="Q149" s="5" t="inlineStr">
        <is>
          <t>af9d691f + a6aa52ba</t>
        </is>
      </c>
    </row>
    <row r="150" ht="33" customHeight="1">
      <c r="A150" s="10" t="inlineStr">
        <is>
          <t>UAT-ITAM-002</t>
        </is>
      </c>
      <c r="B150" s="5" t="inlineStr">
        <is>
          <t>IT Asset &amp; License</t>
        </is>
      </c>
      <c r="C150" s="5" t="inlineStr">
        <is>
          <t>IT Asset &amp; License</t>
        </is>
      </c>
      <c r="D150" s="5" t="inlineStr">
        <is>
          <t>กราฟอุปกรณ์ตามประเภทและอัตราใช้สิทธิ์</t>
        </is>
      </c>
      <c r="E150" s="10" t="inlineStr">
        <is>
          <t>UI</t>
        </is>
      </c>
      <c r="F150" s="5" t="inlineStr">
        <is>
          <t>เข้าสู่ระบบแล้ว</t>
        </is>
      </c>
      <c r="G150" s="5" t="inlineStr">
        <is>
          <t>1. ตรวจโดนัท "อุปกรณ์ตามประเภท" และแท่ง "อัตราใช้สิทธิ์ไลเซนส์"</t>
        </is>
      </c>
      <c r="H150" s="5" t="inlineStr">
        <is>
          <t>-</t>
        </is>
      </c>
      <c r="I150" s="5" t="inlineStr">
        <is>
          <t>โดนัทรวม 11 เครื่อง legend ไม่ถูกตัด; แท่งที่เกิน 100% เป็นสีแดง (AutoCAD 113%) tooltip "n% ของสิทธิ์"</t>
        </is>
      </c>
      <c r="J150" s="10" t="inlineStr">
        <is>
          <t>Medium</t>
        </is>
      </c>
      <c r="K150" s="5" t="inlineStr">
        <is>
          <t>ผู้ดูแลระบบ IT (it.admin)</t>
        </is>
      </c>
      <c r="L150" s="5" t="n"/>
      <c r="M150" s="10" t="inlineStr">
        <is>
          <t>ยังไม่ทดสอบ</t>
        </is>
      </c>
      <c r="N150" s="5" t="n"/>
      <c r="O150" s="18" t="n"/>
      <c r="P150" s="5" t="n"/>
      <c r="Q150" s="5" t="inlineStr">
        <is>
          <t>af9d691f + a6aa52ba</t>
        </is>
      </c>
    </row>
    <row r="151" ht="33" customHeight="1">
      <c r="A151" s="10" t="inlineStr">
        <is>
          <t>UAT-ITAM-003</t>
        </is>
      </c>
      <c r="B151" s="5" t="inlineStr">
        <is>
          <t>IT Asset &amp; License</t>
        </is>
      </c>
      <c r="C151" s="5" t="inlineStr">
        <is>
          <t>IT Asset &amp; License</t>
        </is>
      </c>
      <c r="D151" s="5" t="inlineStr">
        <is>
          <t>OS Inventory / End-of-Support</t>
        </is>
      </c>
      <c r="E151" s="10" t="inlineStr">
        <is>
          <t>Functional</t>
        </is>
      </c>
      <c r="F151" s="5" t="inlineStr">
        <is>
          <t>เข้าสู่ระบบแล้ว</t>
        </is>
      </c>
      <c r="G151" s="5" t="inlineStr">
        <is>
          <t>1. ตรวจตาราง OS</t>
        </is>
      </c>
      <c r="H151" s="5" t="inlineStr">
        <is>
          <t>-</t>
        </is>
      </c>
      <c r="I151" s="5" t="inlineStr">
        <is>
          <t>แสดง OS และจำนวน; Windows 10 Pro 22H2 แสดง chip "EOS แล้ว" สีแดง</t>
        </is>
      </c>
      <c r="J151" s="10" t="inlineStr">
        <is>
          <t>Medium</t>
        </is>
      </c>
      <c r="K151" s="5" t="inlineStr">
        <is>
          <t>ผู้ดูแลระบบ IT (it.admin)</t>
        </is>
      </c>
      <c r="L151" s="5" t="n"/>
      <c r="M151" s="10" t="inlineStr">
        <is>
          <t>ยังไม่ทดสอบ</t>
        </is>
      </c>
      <c r="N151" s="5" t="n"/>
      <c r="O151" s="18" t="n"/>
      <c r="P151" s="5" t="n"/>
      <c r="Q151" s="5" t="inlineStr">
        <is>
          <t>af9d691f + a6aa52ba</t>
        </is>
      </c>
    </row>
    <row r="152" ht="47.5" customHeight="1">
      <c r="A152" s="10" t="inlineStr">
        <is>
          <t>UAT-ITAM-004</t>
        </is>
      </c>
      <c r="B152" s="5" t="inlineStr">
        <is>
          <t>IT Asset &amp; License</t>
        </is>
      </c>
      <c r="C152" s="5" t="inlineStr">
        <is>
          <t>IT Asset &amp; License</t>
        </is>
      </c>
      <c r="D152" s="5" t="inlineStr">
        <is>
          <t>แท็บฮาร์ดแวร์ IT</t>
        </is>
      </c>
      <c r="E152" s="10" t="inlineStr">
        <is>
          <t>Functional</t>
        </is>
      </c>
      <c r="F152" s="5" t="inlineStr">
        <is>
          <t>เข้าสู่ระบบแล้ว</t>
        </is>
      </c>
      <c r="G152" s="5" t="inlineStr">
        <is>
          <t>1. คลิกแท็บ ฮาร์ดแวร์ IT</t>
        </is>
      </c>
      <c r="H152" s="5" t="inlineStr">
        <is>
          <t>-</t>
        </is>
      </c>
      <c r="I152" s="5" t="inlineStr">
        <is>
          <t>แสดงอุปกรณ์ รายงานล่าสุด (เช่น 2 นาทีที่แล้ว / 34 วันที่แล้ว), ประกัน (ถึง 12/2026 / หมดประกันแล้ว), สถานะ ออนไลน์/ขาดการติดต่อ</t>
        </is>
      </c>
      <c r="J152" s="10" t="inlineStr">
        <is>
          <t>Medium</t>
        </is>
      </c>
      <c r="K152" s="5" t="inlineStr">
        <is>
          <t>ผู้ดูแลระบบ IT (it.admin)</t>
        </is>
      </c>
      <c r="L152" s="5" t="n"/>
      <c r="M152" s="10" t="inlineStr">
        <is>
          <t>ยังไม่ทดสอบ</t>
        </is>
      </c>
      <c r="N152" s="5" t="n"/>
      <c r="O152" s="18" t="n"/>
      <c r="P152" s="5" t="n"/>
      <c r="Q152" s="5" t="inlineStr">
        <is>
          <t>af9d691f + a6aa52ba</t>
        </is>
      </c>
    </row>
    <row r="153" ht="62" customHeight="1">
      <c r="A153" s="10" t="inlineStr">
        <is>
          <t>UAT-ITAM-005</t>
        </is>
      </c>
      <c r="B153" s="5" t="inlineStr">
        <is>
          <t>IT Asset &amp; License</t>
        </is>
      </c>
      <c r="C153" s="5" t="inlineStr">
        <is>
          <t>IT Asset &amp; License</t>
        </is>
      </c>
      <c r="D153" s="5" t="inlineStr">
        <is>
          <t>เพิ่มไลเซนส์ (Happy path)</t>
        </is>
      </c>
      <c r="E153" s="10" t="inlineStr">
        <is>
          <t>Functional</t>
        </is>
      </c>
      <c r="F153" s="5" t="inlineStr">
        <is>
          <t>มีสิทธิ์ จัดการไลเซนส์</t>
        </is>
      </c>
      <c r="G153" s="5" t="inlineStr">
        <is>
          <t>1. คลิก "+ ไลเซนส์"
2. กรอกชื่อซอฟต์แวร์ ผู้ผลิต ประเภท จำนวนสิทธิ์ ค่าใช้จ่าย วันเริ่ม วันหมดอายุ License Key ผูกกับ
3. บันทึก</t>
        </is>
      </c>
      <c r="H153" s="5" t="inlineStr">
        <is>
          <t>Microsoft Visio Plan 2; Microsoft; Subscription; 10 สิทธิ์; 45,000 บาท/ปี; 01/11/2569–31/10/2570; ผูก: ฝ่ายวิศวกรรม</t>
        </is>
      </c>
      <c r="I153" s="5" t="inlineStr">
        <is>
          <t>toast "เพิ่มไลเซนส์ “Microsoft Visio Plan 2” แล้ว"; แสดงในแท็บไลเซนส์; KPI ไลเซนส์ +1</t>
        </is>
      </c>
      <c r="J153" s="10" t="inlineStr">
        <is>
          <t>High</t>
        </is>
      </c>
      <c r="K153" s="5" t="inlineStr">
        <is>
          <t>ผู้ดูแลระบบ IT (it.admin)</t>
        </is>
      </c>
      <c r="L153" s="5" t="n"/>
      <c r="M153" s="10" t="inlineStr">
        <is>
          <t>ยังไม่ทดสอบ</t>
        </is>
      </c>
      <c r="N153" s="5" t="n"/>
      <c r="O153" s="18" t="n"/>
      <c r="P153" s="5" t="n"/>
      <c r="Q153" s="5" t="inlineStr">
        <is>
          <t>af9d691f + a6aa52ba</t>
        </is>
      </c>
    </row>
    <row r="154" ht="33" customHeight="1">
      <c r="A154" s="10" t="inlineStr">
        <is>
          <t>UAT-ITAM-006</t>
        </is>
      </c>
      <c r="B154" s="5" t="inlineStr">
        <is>
          <t>IT Asset &amp; License</t>
        </is>
      </c>
      <c r="C154" s="5" t="inlineStr">
        <is>
          <t>IT Asset &amp; License</t>
        </is>
      </c>
      <c r="D154" s="5" t="inlineStr">
        <is>
          <t>เพิ่มไลเซนส์ไม่กรอกชื่อซอฟต์แวร์</t>
        </is>
      </c>
      <c r="E154" s="10" t="inlineStr">
        <is>
          <t>Validation</t>
        </is>
      </c>
      <c r="F154" s="5" t="inlineStr">
        <is>
          <t>เปิดฟอร์มเพิ่มไลเซนส์</t>
        </is>
      </c>
      <c r="G154" s="5" t="inlineStr">
        <is>
          <t>1. เว้นว่าง "ชื่อซอฟต์แวร์ *"
2. บันทึก</t>
        </is>
      </c>
      <c r="H154" s="5" t="inlineStr">
        <is>
          <t>-</t>
        </is>
      </c>
      <c r="I154" s="5" t="inlineStr">
        <is>
          <t>ไม่บันทึก แจ้งเตือนฟิลด์บังคับ</t>
        </is>
      </c>
      <c r="J154" s="10" t="inlineStr">
        <is>
          <t>High</t>
        </is>
      </c>
      <c r="K154" s="5" t="inlineStr">
        <is>
          <t>ผู้ดูแลระบบ IT (it.admin)</t>
        </is>
      </c>
      <c r="L154" s="5" t="n"/>
      <c r="M154" s="10" t="inlineStr">
        <is>
          <t>ยังไม่ทดสอบ</t>
        </is>
      </c>
      <c r="N154" s="5" t="n"/>
      <c r="O154" s="18" t="n"/>
      <c r="P154" s="5" t="n"/>
      <c r="Q154" s="5" t="inlineStr">
        <is>
          <t>af9d691f + a6aa52ba</t>
        </is>
      </c>
    </row>
    <row r="155" ht="47.5" customHeight="1">
      <c r="A155" s="10" t="inlineStr">
        <is>
          <t>UAT-ITAM-007</t>
        </is>
      </c>
      <c r="B155" s="5" t="inlineStr">
        <is>
          <t>IT Asset &amp; License</t>
        </is>
      </c>
      <c r="C155" s="5" t="inlineStr">
        <is>
          <t>IT Asset &amp; License</t>
        </is>
      </c>
      <c r="D155" s="5" t="inlineStr">
        <is>
          <t>วันหมดอายุก่อนวันเริ่ม / จำนวนสิทธิ์ติดลบ</t>
        </is>
      </c>
      <c r="E155" s="10" t="inlineStr">
        <is>
          <t>Validation</t>
        </is>
      </c>
      <c r="F155" s="5" t="inlineStr">
        <is>
          <t>เปิดฟอร์มเพิ่มไลเซนส์</t>
        </is>
      </c>
      <c r="G155" s="5" t="inlineStr">
        <is>
          <t>1. กรอกวันหมดอายุก่อนวันเริ่ม
2. กรอกจำนวนสิทธิ์ -1
3. บันทึก</t>
        </is>
      </c>
      <c r="H155" s="5" t="inlineStr">
        <is>
          <t>-</t>
        </is>
      </c>
      <c r="I155" s="5" t="inlineStr">
        <is>
          <t>แสดงข้อความ validation ไม่บันทึก</t>
        </is>
      </c>
      <c r="J155" s="10" t="inlineStr">
        <is>
          <t>Medium</t>
        </is>
      </c>
      <c r="K155" s="5" t="inlineStr">
        <is>
          <t>ผู้ดูแลระบบ IT (it.admin)</t>
        </is>
      </c>
      <c r="L155" s="5" t="n"/>
      <c r="M155" s="10" t="inlineStr">
        <is>
          <t>ยังไม่ทดสอบ</t>
        </is>
      </c>
      <c r="N155" s="5" t="n"/>
      <c r="O155" s="18" t="n"/>
      <c r="P155" s="5" t="n"/>
      <c r="Q155" s="5" t="inlineStr">
        <is>
          <t>af9d691f + a6aa52ba</t>
        </is>
      </c>
    </row>
    <row r="156" ht="76.5" customHeight="1">
      <c r="A156" s="10" t="inlineStr">
        <is>
          <t>UAT-ITAM-008</t>
        </is>
      </c>
      <c r="B156" s="5" t="inlineStr">
        <is>
          <t>IT Asset &amp; License</t>
        </is>
      </c>
      <c r="C156" s="5" t="inlineStr">
        <is>
          <t>IT Asset &amp; License</t>
        </is>
      </c>
      <c r="D156" s="5" t="inlineStr">
        <is>
          <t>เพิ่มฟิลด์เพิ่มเติม (Custom Field) ในฟอร์มเพิ่มไลเซนส์</t>
        </is>
      </c>
      <c r="E156" s="10" t="inlineStr">
        <is>
          <t>Functional</t>
        </is>
      </c>
      <c r="F156" s="5" t="inlineStr">
        <is>
          <t>เข้าสู่ระบบแล้ว; เปิดฟอร์มเพิ่มไลเซนส์</t>
        </is>
      </c>
      <c r="G156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156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156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156" s="10" t="inlineStr">
        <is>
          <t>Medium</t>
        </is>
      </c>
      <c r="K156" s="5" t="inlineStr">
        <is>
          <t>ผู้ดูแลระบบ IT (it.admin)</t>
        </is>
      </c>
      <c r="L156" s="5" t="n"/>
      <c r="M156" s="10" t="inlineStr">
        <is>
          <t>ยังไม่ทดสอบ</t>
        </is>
      </c>
      <c r="N156" s="5" t="n"/>
      <c r="O156" s="18" t="n"/>
      <c r="P156" s="5" t="n"/>
      <c r="Q156" s="5" t="inlineStr">
        <is>
          <t>af9d691f + a6aa52ba</t>
        </is>
      </c>
    </row>
    <row r="157" ht="47.5" customHeight="1">
      <c r="A157" s="10" t="inlineStr">
        <is>
          <t>UAT-ITAM-009</t>
        </is>
      </c>
      <c r="B157" s="5" t="inlineStr">
        <is>
          <t>IT Asset &amp; License</t>
        </is>
      </c>
      <c r="C157" s="5" t="inlineStr">
        <is>
          <t>IT Asset &amp; License</t>
        </is>
      </c>
      <c r="D157" s="5" t="inlineStr">
        <is>
          <t>แสดง/ซ่อน License Key ตามสิทธิ์</t>
        </is>
      </c>
      <c r="E157" s="10" t="inlineStr">
        <is>
          <t>Permission</t>
        </is>
      </c>
      <c r="F157" s="5" t="inlineStr">
        <is>
          <t>มีไลเซนส์ที่มี Key</t>
        </is>
      </c>
      <c r="G157" s="5" t="inlineStr">
        <is>
          <t>1. ล็อกอิน it.admin คลิก "แสดง License Key"
2. คลิก "ซ่อน License Key"
3. ล็อกอิน auditor แล้วลองดู Key</t>
        </is>
      </c>
      <c r="H157" s="5" t="inlineStr">
        <is>
          <t>-</t>
        </is>
      </c>
      <c r="I157" s="5" t="inlineStr">
        <is>
          <t>it.admin (สิทธิ์ เปิดดู License Key) เห็น Key และซ่อนได้; auditor เห็นเป็น ●●●● ไม่มีปุ่มแสดง; การเปิดดูบันทึก Audit</t>
        </is>
      </c>
      <c r="J157" s="10" t="inlineStr">
        <is>
          <t>High</t>
        </is>
      </c>
      <c r="K157" s="5" t="inlineStr">
        <is>
          <t>ผู้ดูแลระบบ IT (it.admin)</t>
        </is>
      </c>
      <c r="L157" s="5" t="n"/>
      <c r="M157" s="10" t="inlineStr">
        <is>
          <t>ยังไม่ทดสอบ</t>
        </is>
      </c>
      <c r="N157" s="5" t="n"/>
      <c r="O157" s="18" t="n"/>
      <c r="P157" s="5" t="n"/>
      <c r="Q157" s="5" t="inlineStr">
        <is>
          <t>af9d691f + a6aa52ba</t>
        </is>
      </c>
    </row>
    <row r="158" ht="47.5" customHeight="1">
      <c r="A158" s="10" t="inlineStr">
        <is>
          <t>UAT-ITAM-010</t>
        </is>
      </c>
      <c r="B158" s="5" t="inlineStr">
        <is>
          <t>IT Asset &amp; License</t>
        </is>
      </c>
      <c r="C158" s="5" t="inlineStr">
        <is>
          <t>IT Asset &amp; License</t>
        </is>
      </c>
      <c r="D158" s="5" t="inlineStr">
        <is>
          <t>แท็บ Compliance: เกินสิทธิ์และติดตั้งไม่มีไลเซนส์</t>
        </is>
      </c>
      <c r="E158" s="10" t="inlineStr">
        <is>
          <t>Functional</t>
        </is>
      </c>
      <c r="F158" s="5" t="inlineStr">
        <is>
          <t>เข้าสู่ระบบแล้ว</t>
        </is>
      </c>
      <c r="G158" s="5" t="inlineStr">
        <is>
          <t>1. คลิกแท็บ Compliance</t>
        </is>
      </c>
      <c r="H158" s="5" t="inlineStr">
        <is>
          <t>-</t>
        </is>
      </c>
      <c r="I158" s="5" t="inlineStr">
        <is>
          <t>แสดง "AutoCAD เกินสิทธิ์ +2 (ติดตั้งจริง 17 สิทธิ์ 15)" และ "WinRAR ติดตั้งไม่มีไลเซนส์ 3 เครื่อง (NB-0231, NB-0187, PC-0412)" พร้อมอ้างอิง ISO/IEC 19770-1 และ ISO 27001 A.5.9</t>
        </is>
      </c>
      <c r="J158" s="10" t="inlineStr">
        <is>
          <t>High</t>
        </is>
      </c>
      <c r="K158" s="5" t="inlineStr">
        <is>
          <t>ผู้ดูแลระบบ IT (it.admin)</t>
        </is>
      </c>
      <c r="L158" s="5" t="n"/>
      <c r="M158" s="10" t="inlineStr">
        <is>
          <t>ยังไม่ทดสอบ</t>
        </is>
      </c>
      <c r="N158" s="5" t="n"/>
      <c r="O158" s="18" t="n"/>
      <c r="P158" s="5" t="n"/>
      <c r="Q158" s="5" t="inlineStr">
        <is>
          <t>af9d691f + a6aa52ba</t>
        </is>
      </c>
    </row>
    <row r="159" ht="47.5" customHeight="1">
      <c r="A159" s="10" t="inlineStr">
        <is>
          <t>UAT-ITAM-011</t>
        </is>
      </c>
      <c r="B159" s="5" t="inlineStr">
        <is>
          <t>IT Asset &amp; License</t>
        </is>
      </c>
      <c r="C159" s="5" t="inlineStr">
        <is>
          <t>IT Asset &amp; License</t>
        </is>
      </c>
      <c r="D159" s="5" t="inlineStr">
        <is>
          <t>ดำเนินการแก้ Compliance</t>
        </is>
      </c>
      <c r="E159" s="10" t="inlineStr">
        <is>
          <t>Functional</t>
        </is>
      </c>
      <c r="F159" s="5" t="inlineStr">
        <is>
          <t>อยู่แท็บ Compliance</t>
        </is>
      </c>
      <c r="G159" s="5" t="inlineStr">
        <is>
          <t>1. คลิก "ซื้อเพิ่ม 2 สิทธิ์"
2. คลิก "ถอนการติดตั้ง"
3. คลิก "แทนด้วย 7-Zip"</t>
        </is>
      </c>
      <c r="H159" s="5" t="inlineStr">
        <is>
          <t>-</t>
        </is>
      </c>
      <c r="I159" s="5" t="inlineStr">
        <is>
          <t>แต่ละปุ่มบันทึกคำสั่ง/สร้าง PR หรือ Ticket ที่เกี่ยวข้องและแจ้ง toast; ซื้อเพิ่มนำไปสร้าง PR ล่วงหน้ารายการไลเซนส์</t>
        </is>
      </c>
      <c r="J159" s="10" t="inlineStr">
        <is>
          <t>Medium</t>
        </is>
      </c>
      <c r="K159" s="5" t="inlineStr">
        <is>
          <t>ผู้ดูแลระบบ IT (it.admin)</t>
        </is>
      </c>
      <c r="L159" s="5" t="n"/>
      <c r="M159" s="10" t="inlineStr">
        <is>
          <t>ยังไม่ทดสอบ</t>
        </is>
      </c>
      <c r="N159" s="5" t="n"/>
      <c r="O159" s="18" t="n"/>
      <c r="P159" s="5" t="n"/>
      <c r="Q159" s="5" t="inlineStr">
        <is>
          <t>af9d691f + a6aa52ba</t>
        </is>
      </c>
    </row>
    <row r="160" ht="18.5" customHeight="1">
      <c r="A160" s="10" t="inlineStr">
        <is>
          <t>UAT-ITAM-012</t>
        </is>
      </c>
      <c r="B160" s="5" t="inlineStr">
        <is>
          <t>IT Asset &amp; License</t>
        </is>
      </c>
      <c r="C160" s="5" t="inlineStr">
        <is>
          <t>IT Asset &amp; License</t>
        </is>
      </c>
      <c r="D160" s="5" t="inlineStr">
        <is>
          <t>ดาวน์โหลดรายงาน Compliance (CSV)</t>
        </is>
      </c>
      <c r="E160" s="10" t="inlineStr">
        <is>
          <t>Functional</t>
        </is>
      </c>
      <c r="F160" s="5" t="inlineStr">
        <is>
          <t>เข้าสู่ระบบแล้ว</t>
        </is>
      </c>
      <c r="G160" s="5" t="inlineStr">
        <is>
          <t>1. คลิก "รายงาน Compliance"</t>
        </is>
      </c>
      <c r="H160" s="5" t="inlineStr">
        <is>
          <t>-</t>
        </is>
      </c>
      <c r="I160" s="5" t="inlineStr">
        <is>
          <t>ดาวน์โหลด CSV ภาษาไทยไม่เพี้ยน มีรายการเกินสิทธิ์/ไม่มีไลเซนส์</t>
        </is>
      </c>
      <c r="J160" s="10" t="inlineStr">
        <is>
          <t>Medium</t>
        </is>
      </c>
      <c r="K160" s="5" t="inlineStr">
        <is>
          <t>ผู้ตรวจสอบ (auditor)</t>
        </is>
      </c>
      <c r="L160" s="5" t="n"/>
      <c r="M160" s="10" t="inlineStr">
        <is>
          <t>ยังไม่ทดสอบ</t>
        </is>
      </c>
      <c r="N160" s="5" t="n"/>
      <c r="O160" s="18" t="n"/>
      <c r="P160" s="5" t="n"/>
      <c r="Q160" s="5" t="inlineStr">
        <is>
          <t>af9d691f + a6aa52ba</t>
        </is>
      </c>
    </row>
    <row r="161" ht="33" customHeight="1">
      <c r="A161" s="10" t="inlineStr">
        <is>
          <t>UAT-ITAM-013</t>
        </is>
      </c>
      <c r="B161" s="5" t="inlineStr">
        <is>
          <t>IT Asset &amp; License</t>
        </is>
      </c>
      <c r="C161" s="5" t="inlineStr">
        <is>
          <t>IT Asset &amp; License</t>
        </is>
      </c>
      <c r="D161" s="5" t="inlineStr">
        <is>
          <t>แท็บซอฟต์แวร์ที่พบ (Discovery)</t>
        </is>
      </c>
      <c r="E161" s="10" t="inlineStr">
        <is>
          <t>Functional</t>
        </is>
      </c>
      <c r="F161" s="5" t="inlineStr">
        <is>
          <t>Discovery Agent ส่งข้อมูลแล้ว</t>
        </is>
      </c>
      <c r="G161" s="5" t="inlineStr">
        <is>
          <t>1. คลิกแท็บ ซอฟต์แวร์ที่พบ</t>
        </is>
      </c>
      <c r="H161" s="5" t="inlineStr">
        <is>
          <t>-</t>
        </is>
      </c>
      <c r="I161" s="5" t="inlineStr">
        <is>
          <t>แสดง ซอฟต์แวร์, เวอร์ชัน, จำนวนติดตั้ง, สถานะไลเซนส์ (มีไลเซนส์/เกินสิทธิ์/ไม่มีไลเซนส์/ฟรีแวร์)</t>
        </is>
      </c>
      <c r="J161" s="10" t="inlineStr">
        <is>
          <t>Medium</t>
        </is>
      </c>
      <c r="K161" s="5" t="inlineStr">
        <is>
          <t>ผู้ดูแลระบบ IT (it.admin)</t>
        </is>
      </c>
      <c r="L161" s="5" t="n"/>
      <c r="M161" s="10" t="inlineStr">
        <is>
          <t>ยังไม่ทดสอบ</t>
        </is>
      </c>
      <c r="N161" s="5" t="n"/>
      <c r="O161" s="18" t="n"/>
      <c r="P161" s="5" t="n"/>
      <c r="Q161" s="5" t="inlineStr">
        <is>
          <t>af9d691f + a6aa52ba</t>
        </is>
      </c>
    </row>
    <row r="162" ht="47.5" customHeight="1">
      <c r="A162" s="10" t="inlineStr">
        <is>
          <t>UAT-ITAM-014</t>
        </is>
      </c>
      <c r="B162" s="5" t="inlineStr">
        <is>
          <t>IT Asset &amp; License</t>
        </is>
      </c>
      <c r="C162" s="5" t="inlineStr">
        <is>
          <t>IT Asset &amp; License</t>
        </is>
      </c>
      <c r="D162" s="5" t="inlineStr">
        <is>
          <t>แท็บ Discovery &amp; API: Agent และ Token</t>
        </is>
      </c>
      <c r="E162" s="10" t="inlineStr">
        <is>
          <t>Functional</t>
        </is>
      </c>
      <c r="F162" s="5" t="inlineStr">
        <is>
          <t>เข้าสู่ระบบแล้ว</t>
        </is>
      </c>
      <c r="G162" s="5" t="inlineStr">
        <is>
          <t>1. คลิกแท็บ Discovery &amp; API</t>
        </is>
      </c>
      <c r="H162" s="5" t="inlineStr">
        <is>
          <t>-</t>
        </is>
      </c>
      <c r="I162" s="5" t="inlineStr">
        <is>
          <t>แสดงเครื่องที่ติดตั้ง Agent พร้อมรายงานล่าสุด/สถานะ (ออนไลน์/ขาดการติดต่อ) และ API Token ขอบเขต/วันหมดอายุ พร้อมปุ่มต่ออายุ/ปิดใช้งาน</t>
        </is>
      </c>
      <c r="J162" s="10" t="inlineStr">
        <is>
          <t>Medium</t>
        </is>
      </c>
      <c r="K162" s="5" t="inlineStr">
        <is>
          <t>ผู้ดูแลระบบ IT (it.admin)</t>
        </is>
      </c>
      <c r="L162" s="5" t="n"/>
      <c r="M162" s="10" t="inlineStr">
        <is>
          <t>ยังไม่ทดสอบ</t>
        </is>
      </c>
      <c r="N162" s="5" t="n"/>
      <c r="O162" s="18" t="n"/>
      <c r="P162" s="5" t="n"/>
      <c r="Q162" s="5" t="inlineStr">
        <is>
          <t>af9d691f + a6aa52ba</t>
        </is>
      </c>
    </row>
    <row r="163" ht="33" customHeight="1">
      <c r="A163" s="10" t="inlineStr">
        <is>
          <t>UAT-ITAM-015</t>
        </is>
      </c>
      <c r="B163" s="5" t="inlineStr">
        <is>
          <t>IT Asset &amp; License</t>
        </is>
      </c>
      <c r="C163" s="5" t="inlineStr">
        <is>
          <t>IT Asset &amp; License</t>
        </is>
      </c>
      <c r="D163" s="5" t="inlineStr">
        <is>
          <t>ไลเซนส์ใกล้หมดอายุแสดงเตือน</t>
        </is>
      </c>
      <c r="E163" s="10" t="inlineStr">
        <is>
          <t>UI</t>
        </is>
      </c>
      <c r="F163" s="5" t="inlineStr">
        <is>
          <t>มีไลเซนส์หมดใน ≤30 วัน</t>
        </is>
      </c>
      <c r="G163" s="5" t="inlineStr">
        <is>
          <t>1. ตรวจแท็บไลเซนส์</t>
        </is>
      </c>
      <c r="H163" s="5" t="inlineStr">
        <is>
          <t>-</t>
        </is>
      </c>
      <c r="I163" s="5" t="inlineStr">
        <is>
          <t>แสดง "หมดใน n วัน" สีเหลือง/แดง; Perpetual แสดง "ไม่มีวันหมดอายุ"/"ซื้อขาด"</t>
        </is>
      </c>
      <c r="J163" s="10" t="inlineStr">
        <is>
          <t>Medium</t>
        </is>
      </c>
      <c r="K163" s="5" t="inlineStr">
        <is>
          <t>ผู้ดูแลระบบ IT (it.admin)</t>
        </is>
      </c>
      <c r="L163" s="5" t="n"/>
      <c r="M163" s="10" t="inlineStr">
        <is>
          <t>ยังไม่ทดสอบ</t>
        </is>
      </c>
      <c r="N163" s="5" t="n"/>
      <c r="O163" s="18" t="n"/>
      <c r="P163" s="5" t="n"/>
      <c r="Q163" s="5" t="inlineStr">
        <is>
          <t>af9d691f + a6aa52ba</t>
        </is>
      </c>
    </row>
    <row r="164" ht="18.5" customHeight="1">
      <c r="A164" s="10" t="inlineStr">
        <is>
          <t>UAT-ITAM-016</t>
        </is>
      </c>
      <c r="B164" s="5" t="inlineStr">
        <is>
          <t>IT Asset &amp; License</t>
        </is>
      </c>
      <c r="C164" s="5" t="inlineStr">
        <is>
          <t>IT Asset &amp; License</t>
        </is>
      </c>
      <c r="D164" s="5" t="inlineStr">
        <is>
          <t>แท็บ IT Service</t>
        </is>
      </c>
      <c r="E164" s="10" t="inlineStr">
        <is>
          <t>Functional</t>
        </is>
      </c>
      <c r="F164" s="5" t="inlineStr">
        <is>
          <t>เข้าสู่ระบบแล้ว</t>
        </is>
      </c>
      <c r="G164" s="5" t="inlineStr">
        <is>
          <t>1. คลิกแท็บ IT Service</t>
        </is>
      </c>
      <c r="H164" s="5" t="inlineStr">
        <is>
          <t>-</t>
        </is>
      </c>
      <c r="I164" s="5" t="inlineStr">
        <is>
          <t>แสดงงาน IT Incident/IT Request เชื่อมกับใบสั่งงาน</t>
        </is>
      </c>
      <c r="J164" s="10" t="inlineStr">
        <is>
          <t>Low</t>
        </is>
      </c>
      <c r="K164" s="5" t="inlineStr">
        <is>
          <t>ผู้ดูแลระบบ IT (it.admin)</t>
        </is>
      </c>
      <c r="L164" s="5" t="n"/>
      <c r="M164" s="10" t="inlineStr">
        <is>
          <t>ยังไม่ทดสอบ</t>
        </is>
      </c>
      <c r="N164" s="5" t="n"/>
      <c r="O164" s="18" t="n"/>
      <c r="P164" s="5" t="inlineStr">
        <is>
          <t>แท็บจากระบบเดิม ยังไม่มีใน mockup</t>
        </is>
      </c>
      <c r="Q164" s="5" t="inlineStr">
        <is>
          <t>af9d691f + a6aa52ba</t>
        </is>
      </c>
    </row>
    <row r="165" ht="18.5" customHeight="1">
      <c r="A165" s="10" t="inlineStr">
        <is>
          <t>UAT-ITAM-017</t>
        </is>
      </c>
      <c r="B165" s="5" t="inlineStr">
        <is>
          <t>IT Asset &amp; License</t>
        </is>
      </c>
      <c r="C165" s="5" t="inlineStr">
        <is>
          <t>IT Asset &amp; License</t>
        </is>
      </c>
      <c r="D165" s="5" t="inlineStr">
        <is>
          <t>ผู้ไม่มีสิทธิ์จัดการไลเซนส์</t>
        </is>
      </c>
      <c r="E165" s="10" t="inlineStr">
        <is>
          <t>Permission</t>
        </is>
      </c>
      <c r="F165" s="5" t="inlineStr">
        <is>
          <t>ล็อกอินเป็นช่าง</t>
        </is>
      </c>
      <c r="G165" s="5" t="inlineStr">
        <is>
          <t>1. เปิดหน้า</t>
        </is>
      </c>
      <c r="H165" s="5" t="inlineStr">
        <is>
          <t>-</t>
        </is>
      </c>
      <c r="I165" s="5" t="inlineStr">
        <is>
          <t>ปุ่ม "+ ไลเซนส์" ซ่อน; ดูได้ตามสิทธิ์ ดู IT Asset</t>
        </is>
      </c>
      <c r="J165" s="10" t="inlineStr">
        <is>
          <t>High</t>
        </is>
      </c>
      <c r="K165" s="5" t="inlineStr">
        <is>
          <t>ช่างซ่อมบำรุง (somchai)</t>
        </is>
      </c>
      <c r="L165" s="5" t="n"/>
      <c r="M165" s="10" t="inlineStr">
        <is>
          <t>ยังไม่ทดสอบ</t>
        </is>
      </c>
      <c r="N165" s="5" t="n"/>
      <c r="O165" s="18" t="n"/>
      <c r="P165" s="5" t="n"/>
      <c r="Q165" s="5" t="inlineStr">
        <is>
          <t>af9d691f + a6aa52ba</t>
        </is>
      </c>
    </row>
    <row r="166" ht="47.5" customHeight="1">
      <c r="A166" s="10" t="inlineStr">
        <is>
          <t>UAT-ITAM-018</t>
        </is>
      </c>
      <c r="B166" s="5" t="inlineStr">
        <is>
          <t>IT Asset &amp; License</t>
        </is>
      </c>
      <c r="C166" s="5" t="inlineStr">
        <is>
          <t>IT Asset &amp; License</t>
        </is>
      </c>
      <c r="D166" s="5" t="inlineStr">
        <is>
          <t>ความสอดคล้องระหว่าง mockup 2 เวอร์ชัน</t>
        </is>
      </c>
      <c r="E166" s="10" t="inlineStr">
        <is>
          <t>UI</t>
        </is>
      </c>
      <c r="F166" s="5" t="inlineStr">
        <is>
          <t>-</t>
        </is>
      </c>
      <c r="G166" s="5" t="inlineStr">
        <is>
          <t>1. เปรียบเทียบหน้าจอ af9d691f และ a6aa52ba</t>
        </is>
      </c>
      <c r="H166" s="5" t="inlineStr">
        <is>
          <t>-</t>
        </is>
      </c>
      <c r="I166" s="5" t="inlineStr">
        <is>
          <t>ฟอร์มเพิ่มไลเซนส์ใช้ชุดฟิลด์เดียวกัน (ประเภท Subscription/Perpetual/Support/Per-device, วันเริ่ม, ผูกกับอุปกรณ์/ผู้ใช้)</t>
        </is>
      </c>
      <c r="J166" s="10" t="inlineStr">
        <is>
          <t>Low</t>
        </is>
      </c>
      <c r="K166" s="5" t="inlineStr">
        <is>
          <t>ผู้ดูแลระบบสูงสุด (admin)</t>
        </is>
      </c>
      <c r="L166" s="5" t="n"/>
      <c r="M166" s="10" t="inlineStr">
        <is>
          <t>ยังไม่ทดสอบ</t>
        </is>
      </c>
      <c r="N166" s="5" t="n"/>
      <c r="O166" s="18" t="n"/>
      <c r="P166" s="5" t="inlineStr">
        <is>
          <t>mockup a6aa52ba ไม่มีฟิลด์วันเริ่ม/ผูกกับ; af9d691f ไม่มีประเภท Support/Per-device — ต้องรวมให้เป็นชุดเดียว</t>
        </is>
      </c>
      <c r="Q166" s="5" t="inlineStr">
        <is>
          <t>af9d691f + a6aa52ba</t>
        </is>
      </c>
    </row>
    <row r="167" ht="47.5" customHeight="1">
      <c r="A167" s="10" t="inlineStr">
        <is>
          <t>UAT-ITAM-019</t>
        </is>
      </c>
      <c r="B167" s="5" t="inlineStr">
        <is>
          <t>IT Asset &amp; License</t>
        </is>
      </c>
      <c r="C167" s="5" t="inlineStr">
        <is>
          <t>IT Asset &amp; License</t>
        </is>
      </c>
      <c r="D167" s="5" t="inlineStr">
        <is>
          <t>ค้นหาไม่พบข้อมูล (IT Asset &amp; License)</t>
        </is>
      </c>
      <c r="E167" s="10" t="inlineStr">
        <is>
          <t>Negative</t>
        </is>
      </c>
      <c r="F167" s="5" t="inlineStr">
        <is>
          <t>เข้าสู่ระบบแล้ว และอยู่ที่หน้าIT Asset &amp; License</t>
        </is>
      </c>
      <c r="G167" s="5" t="inlineStr">
        <is>
          <t>1. พิมพ์คำค้นที่ไม่มีอยู่จริงในช่อง "ค้นหา ทรัพย์สิน / ไลเซนส์ / อุปกรณ์…"
2. สังเกตตาราง/รายการ</t>
        </is>
      </c>
      <c r="H167" s="5" t="inlineStr">
        <is>
          <t>คำค้น: ZZZ-NOTFOUND-999</t>
        </is>
      </c>
      <c r="I167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167" s="10" t="inlineStr">
        <is>
          <t>Low</t>
        </is>
      </c>
      <c r="K167" s="5" t="inlineStr">
        <is>
          <t>ผู้ดูแลระบบ IT (it.admin)</t>
        </is>
      </c>
      <c r="L167" s="5" t="n"/>
      <c r="M167" s="10" t="inlineStr">
        <is>
          <t>ยังไม่ทดสอบ</t>
        </is>
      </c>
      <c r="N167" s="5" t="n"/>
      <c r="O167" s="18" t="n"/>
      <c r="P167" s="5" t="n"/>
      <c r="Q167" s="5" t="inlineStr">
        <is>
          <t>af9d691f + a6aa52ba</t>
        </is>
      </c>
    </row>
    <row r="168" ht="47.5" customHeight="1">
      <c r="A168" s="10" t="inlineStr">
        <is>
          <t>UAT-ITAM-020</t>
        </is>
      </c>
      <c r="B168" s="5" t="inlineStr">
        <is>
          <t>IT Asset &amp; License</t>
        </is>
      </c>
      <c r="C168" s="5" t="inlineStr">
        <is>
          <t>IT Asset &amp; License</t>
        </is>
      </c>
      <c r="D168" s="5" t="inlineStr">
        <is>
          <t>ค้นหาด้วยคำค้นที่มีอยู่จริง (IT Asset &amp; License)</t>
        </is>
      </c>
      <c r="E168" s="10" t="inlineStr">
        <is>
          <t>Functional</t>
        </is>
      </c>
      <c r="F168" s="5" t="inlineStr">
        <is>
          <t>เข้าสู่ระบบแล้ว และอยู่ที่หน้าIT Asset &amp; License</t>
        </is>
      </c>
      <c r="G168" s="5" t="inlineStr">
        <is>
          <t>1. พิมพ์คำค้นในช่อง "ค้นหา ทรัพย์สิน / ไลเซนส์ / อุปกรณ์…"
2. ตรวจรายการที่แสดง
3. ล้างคำค้น</t>
        </is>
      </c>
      <c r="H168" s="5" t="inlineStr">
        <is>
          <t>คำค้น: AutoCAD</t>
        </is>
      </c>
      <c r="I168" s="5" t="inlineStr">
        <is>
          <t>แสดงเฉพาะรายการที่ตรงกับคำค้น (ไลเซนส์ AutoCAD); เมื่อล้างคำค้นรายการกลับมาครบ</t>
        </is>
      </c>
      <c r="J168" s="10" t="inlineStr">
        <is>
          <t>Medium</t>
        </is>
      </c>
      <c r="K168" s="5" t="inlineStr">
        <is>
          <t>ผู้ดูแลระบบ IT (it.admin)</t>
        </is>
      </c>
      <c r="L168" s="5" t="n"/>
      <c r="M168" s="10" t="inlineStr">
        <is>
          <t>ยังไม่ทดสอบ</t>
        </is>
      </c>
      <c r="N168" s="5" t="n"/>
      <c r="O168" s="18" t="n"/>
      <c r="P168" s="5" t="n"/>
      <c r="Q168" s="5" t="inlineStr">
        <is>
          <t>af9d691f + a6aa52ba</t>
        </is>
      </c>
    </row>
    <row r="169" ht="62" customHeight="1">
      <c r="A169" s="10" t="inlineStr">
        <is>
          <t>UAT-ITAM-021</t>
        </is>
      </c>
      <c r="B169" s="5" t="inlineStr">
        <is>
          <t>IT Asset &amp; License</t>
        </is>
      </c>
      <c r="C169" s="5" t="inlineStr">
        <is>
          <t>IT Asset &amp; License</t>
        </is>
      </c>
      <c r="D169" s="5" t="inlineStr">
        <is>
          <t>แสดงผลบนมือถือ 375px (IT Asset &amp; License)</t>
        </is>
      </c>
      <c r="E169" s="10" t="inlineStr">
        <is>
          <t>Responsive</t>
        </is>
      </c>
      <c r="F169" s="5" t="inlineStr">
        <is>
          <t>เข้าสู่ระบบแล้ว; เปิด DevTools โหมดอุปกรณ์ iPhone SE/375×667</t>
        </is>
      </c>
      <c r="G169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169" s="5" t="inlineStr">
        <is>
          <t>ความกว้าง 375px</t>
        </is>
      </c>
      <c r="I169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169" s="10" t="inlineStr">
        <is>
          <t>Medium</t>
        </is>
      </c>
      <c r="K169" s="5" t="inlineStr">
        <is>
          <t>ผู้ดูแลระบบ IT (it.admin)</t>
        </is>
      </c>
      <c r="L169" s="5" t="n"/>
      <c r="M169" s="10" t="inlineStr">
        <is>
          <t>ยังไม่ทดสอบ</t>
        </is>
      </c>
      <c r="N169" s="5" t="n"/>
      <c r="O169" s="18" t="n"/>
      <c r="P169" s="5" t="n"/>
      <c r="Q169" s="5" t="inlineStr">
        <is>
          <t>af9d691f + a6aa52ba</t>
        </is>
      </c>
    </row>
    <row r="170" ht="62" customHeight="1">
      <c r="A170" s="10" t="inlineStr">
        <is>
          <t>UAT-ITAM-022</t>
        </is>
      </c>
      <c r="B170" s="5" t="inlineStr">
        <is>
          <t>IT Asset &amp; License</t>
        </is>
      </c>
      <c r="C170" s="5" t="inlineStr">
        <is>
          <t>IT Asset &amp; License</t>
        </is>
      </c>
      <c r="D170" s="5" t="inlineStr">
        <is>
          <t>แสดงผลบน Desktop 1920px และความอ่านง่ายธีมมืด (IT Asset &amp; License)</t>
        </is>
      </c>
      <c r="E170" s="10" t="inlineStr">
        <is>
          <t>UI</t>
        </is>
      </c>
      <c r="F170" s="5" t="inlineStr">
        <is>
          <t>เข้าสู่ระบบแล้ว; หน้าจอ 1920×1080</t>
        </is>
      </c>
      <c r="G170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170" s="5" t="inlineStr">
        <is>
          <t>ความกว้าง 1920px</t>
        </is>
      </c>
      <c r="I170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170" s="10" t="inlineStr">
        <is>
          <t>Low</t>
        </is>
      </c>
      <c r="K170" s="5" t="inlineStr">
        <is>
          <t>ผู้ดูแลระบบ IT (it.admin)</t>
        </is>
      </c>
      <c r="L170" s="5" t="n"/>
      <c r="M170" s="10" t="inlineStr">
        <is>
          <t>ยังไม่ทดสอบ</t>
        </is>
      </c>
      <c r="N170" s="5" t="n"/>
      <c r="O170" s="18" t="n"/>
      <c r="P170" s="5" t="n"/>
      <c r="Q170" s="5" t="inlineStr">
        <is>
          <t>af9d691f + a6aa52ba</t>
        </is>
      </c>
    </row>
    <row r="171" ht="47.5" customHeight="1">
      <c r="A171" s="10" t="inlineStr">
        <is>
          <t>UAT-EAM-001</t>
        </is>
      </c>
      <c r="B171" s="5" t="inlineStr">
        <is>
          <t>EAM ลำดับชั้น &amp; Lifecycle</t>
        </is>
      </c>
      <c r="C171" s="5" t="inlineStr">
        <is>
          <t>EAM ลำดับชั้น &amp; Lifecycle</t>
        </is>
      </c>
      <c r="D171" s="5" t="inlineStr">
        <is>
          <t>กราฟความสัมพันธ์ (force graph)</t>
        </is>
      </c>
      <c r="E171" s="10" t="inlineStr">
        <is>
          <t>Functional</t>
        </is>
      </c>
      <c r="F171" s="5" t="inlineStr">
        <is>
          <t>เข้าสู่ระบบแล้ว</t>
        </is>
      </c>
      <c r="G171" s="5" t="inlineStr">
        <is>
          <t>1. เปิดแท็บ กราฟความสัมพันธ์
2. ลากโหนด, scroll zoom, ลากพื้นหลัง pan
3. คลิกโหนด CONV-03</t>
        </is>
      </c>
      <c r="H171" s="5" t="inlineStr">
        <is>
          <t>-</t>
        </is>
      </c>
      <c r="I171" s="5" t="inlineStr">
        <is>
          <t>กราฟแสดง ไซต์ → อาคาร → ที่ตั้ง → ทรัพย์สิน; คลิกโหนดแสดงรายละเอียด (MTBF, คำแนะนำ, โหนดย่อย); สีเส้นตาม Health</t>
        </is>
      </c>
      <c r="J171" s="10" t="inlineStr">
        <is>
          <t>Medium</t>
        </is>
      </c>
      <c r="K171" s="5" t="inlineStr">
        <is>
          <t>ผู้จัดการทรัพย์สิน (asset.mgr)</t>
        </is>
      </c>
      <c r="L171" s="5" t="n"/>
      <c r="M171" s="10" t="inlineStr">
        <is>
          <t>ยังไม่ทดสอบ</t>
        </is>
      </c>
      <c r="N171" s="5" t="n"/>
      <c r="O171" s="18" t="n"/>
      <c r="P171" s="5" t="n"/>
      <c r="Q171" s="5" t="inlineStr">
        <is>
          <t>88f07cff</t>
        </is>
      </c>
    </row>
    <row r="172" ht="18.5" customHeight="1">
      <c r="A172" s="10" t="inlineStr">
        <is>
          <t>UAT-EAM-002</t>
        </is>
      </c>
      <c r="B172" s="5" t="inlineStr">
        <is>
          <t>EAM ลำดับชั้น &amp; Lifecycle</t>
        </is>
      </c>
      <c r="C172" s="5" t="inlineStr">
        <is>
          <t>EAM ลำดับชั้น &amp; Lifecycle</t>
        </is>
      </c>
      <c r="D172" s="5" t="inlineStr">
        <is>
          <t>กรองประเภทโหนดด้วย chip</t>
        </is>
      </c>
      <c r="E172" s="10" t="inlineStr">
        <is>
          <t>Functional</t>
        </is>
      </c>
      <c r="F172" s="5" t="inlineStr">
        <is>
          <t>เข้าสู่ระบบแล้ว</t>
        </is>
      </c>
      <c r="G172" s="5" t="inlineStr">
        <is>
          <t>1. ปิด chip อะไหล่ (BOM), มิเตอร์, เซนเซอร์ IoT</t>
        </is>
      </c>
      <c r="H172" s="5" t="inlineStr">
        <is>
          <t>-</t>
        </is>
      </c>
      <c r="I172" s="5" t="inlineStr">
        <is>
          <t>โหนดประเภทที่ปิดหายจากกราฟ เปิดกลับมาแสดงได้</t>
        </is>
      </c>
      <c r="J172" s="10" t="inlineStr">
        <is>
          <t>Low</t>
        </is>
      </c>
      <c r="K172" s="5" t="inlineStr">
        <is>
          <t>ผู้จัดการทรัพย์สิน (asset.mgr)</t>
        </is>
      </c>
      <c r="L172" s="5" t="n"/>
      <c r="M172" s="10" t="inlineStr">
        <is>
          <t>ยังไม่ทดสอบ</t>
        </is>
      </c>
      <c r="N172" s="5" t="n"/>
      <c r="O172" s="18" t="n"/>
      <c r="P172" s="5" t="n"/>
      <c r="Q172" s="5" t="inlineStr">
        <is>
          <t>88f07cff</t>
        </is>
      </c>
    </row>
    <row r="173" ht="18.5" customHeight="1">
      <c r="A173" s="10" t="inlineStr">
        <is>
          <t>UAT-EAM-003</t>
        </is>
      </c>
      <c r="B173" s="5" t="inlineStr">
        <is>
          <t>EAM ลำดับชั้น &amp; Lifecycle</t>
        </is>
      </c>
      <c r="C173" s="5" t="inlineStr">
        <is>
          <t>EAM ลำดับชั้น &amp; Lifecycle</t>
        </is>
      </c>
      <c r="D173" s="5" t="inlineStr">
        <is>
          <t>ค้นหาโหนด</t>
        </is>
      </c>
      <c r="E173" s="10" t="inlineStr">
        <is>
          <t>Functional</t>
        </is>
      </c>
      <c r="F173" s="5" t="inlineStr">
        <is>
          <t>เข้าสู่ระบบแล้ว</t>
        </is>
      </c>
      <c r="G173" s="5" t="inlineStr">
        <is>
          <t>1. พิมพ์ "CMP-02" ในช่องค้นหาโหนด</t>
        </is>
      </c>
      <c r="H173" s="5" t="inlineStr">
        <is>
          <t>CMP-02</t>
        </is>
      </c>
      <c r="I173" s="5" t="inlineStr">
        <is>
          <t>กราฟโฟกัสโหนด CMP-02; ถ้าไม่พบแสดง "ไม่พบ “…”"</t>
        </is>
      </c>
      <c r="J173" s="10" t="inlineStr">
        <is>
          <t>Low</t>
        </is>
      </c>
      <c r="K173" s="5" t="inlineStr">
        <is>
          <t>ผู้จัดการทรัพย์สิน (asset.mgr)</t>
        </is>
      </c>
      <c r="L173" s="5" t="n"/>
      <c r="M173" s="10" t="inlineStr">
        <is>
          <t>ยังไม่ทดสอบ</t>
        </is>
      </c>
      <c r="N173" s="5" t="n"/>
      <c r="O173" s="18" t="n"/>
      <c r="P173" s="5" t="n"/>
      <c r="Q173" s="5" t="inlineStr">
        <is>
          <t>88f07cff</t>
        </is>
      </c>
    </row>
    <row r="174" ht="33" customHeight="1">
      <c r="A174" s="10" t="inlineStr">
        <is>
          <t>UAT-EAM-004</t>
        </is>
      </c>
      <c r="B174" s="5" t="inlineStr">
        <is>
          <t>EAM ลำดับชั้น &amp; Lifecycle</t>
        </is>
      </c>
      <c r="C174" s="5" t="inlineStr">
        <is>
          <t>EAM ลำดับชั้น &amp; Lifecycle</t>
        </is>
      </c>
      <c r="D174" s="5" t="inlineStr">
        <is>
          <t>ผังลำดับชั้น (Tree)</t>
        </is>
      </c>
      <c r="E174" s="10" t="inlineStr">
        <is>
          <t>Functional</t>
        </is>
      </c>
      <c r="F174" s="5" t="inlineStr">
        <is>
          <t>เข้าสู่ระบบแล้ว</t>
        </is>
      </c>
      <c r="G174" s="5" t="inlineStr">
        <is>
          <t>1. คลิกแท็บ ผังลำดับชั้น
2. ขยาย/ยุบ อาคารผลิต 1 &gt; สายการผลิต B</t>
        </is>
      </c>
      <c r="H174" s="5" t="inlineStr">
        <is>
          <t>-</t>
        </is>
      </c>
      <c r="I174" s="5" t="inlineStr">
        <is>
          <t>แสดงต้นไม้ลำดับชั้นถูกต้อง พร้อมจุดสี Health (เขียว ≥70, เหลือง 50–69, แดง &lt;50, เทา ยังไม่คำนวณ)</t>
        </is>
      </c>
      <c r="J174" s="10" t="inlineStr">
        <is>
          <t>Medium</t>
        </is>
      </c>
      <c r="K174" s="5" t="inlineStr">
        <is>
          <t>ผู้จัดการทรัพย์สิน (asset.mgr)</t>
        </is>
      </c>
      <c r="L174" s="5" t="n"/>
      <c r="M174" s="10" t="inlineStr">
        <is>
          <t>ยังไม่ทดสอบ</t>
        </is>
      </c>
      <c r="N174" s="5" t="n"/>
      <c r="O174" s="18" t="n"/>
      <c r="P174" s="5" t="n"/>
      <c r="Q174" s="5" t="inlineStr">
        <is>
          <t>88f07cff</t>
        </is>
      </c>
    </row>
    <row r="175" ht="47.5" customHeight="1">
      <c r="A175" s="10" t="inlineStr">
        <is>
          <t>UAT-EAM-005</t>
        </is>
      </c>
      <c r="B175" s="5" t="inlineStr">
        <is>
          <t>EAM ลำดับชั้น &amp; Lifecycle</t>
        </is>
      </c>
      <c r="C175" s="5" t="inlineStr">
        <is>
          <t>EAM ลำดับชั้น &amp; Lifecycle</t>
        </is>
      </c>
      <c r="D175" s="5" t="inlineStr">
        <is>
          <t>Health &amp; Reliability: ตารางและวิธีคิด</t>
        </is>
      </c>
      <c r="E175" s="10" t="inlineStr">
        <is>
          <t>Functional</t>
        </is>
      </c>
      <c r="F175" s="5" t="inlineStr">
        <is>
          <t>เข้าสู่ระบบแล้ว</t>
        </is>
      </c>
      <c r="G175" s="5" t="inlineStr">
        <is>
          <t>1. คลิกแท็บ Health &amp; Reliability</t>
        </is>
      </c>
      <c r="H175" s="5" t="inlineStr">
        <is>
          <t>-</t>
        </is>
      </c>
      <c r="I175" s="5" t="inlineStr">
        <is>
          <t>ตาราง ทรัพย์สิน, Health, เสีย 12 ด., ค่าซ่อมสะสม, คำแนะนำ, สถานะ เรียง Health น้อย→มาก; มีกล่อง "วิธีคิด Health score (เต็ม 100)" แสดงกฎหักคะแนน</t>
        </is>
      </c>
      <c r="J175" s="10" t="inlineStr">
        <is>
          <t>Medium</t>
        </is>
      </c>
      <c r="K175" s="5" t="inlineStr">
        <is>
          <t>ผู้จัดการซ่อมบำรุง (maint.mgr)</t>
        </is>
      </c>
      <c r="L175" s="5" t="n"/>
      <c r="M175" s="10" t="inlineStr">
        <is>
          <t>ยังไม่ทดสอบ</t>
        </is>
      </c>
      <c r="N175" s="5" t="n"/>
      <c r="O175" s="18" t="n"/>
      <c r="P175" s="5" t="n"/>
      <c r="Q175" s="5" t="inlineStr">
        <is>
          <t>88f07cff</t>
        </is>
      </c>
    </row>
    <row r="176" ht="33" customHeight="1">
      <c r="A176" s="10" t="inlineStr">
        <is>
          <t>UAT-EAM-006</t>
        </is>
      </c>
      <c r="B176" s="5" t="inlineStr">
        <is>
          <t>EAM ลำดับชั้น &amp; Lifecycle</t>
        </is>
      </c>
      <c r="C176" s="5" t="inlineStr">
        <is>
          <t>EAM ลำดับชั้น &amp; Lifecycle</t>
        </is>
      </c>
      <c r="D176" s="5" t="inlineStr">
        <is>
          <t>คำนวณ Health ใหม่</t>
        </is>
      </c>
      <c r="E176" s="10" t="inlineStr">
        <is>
          <t>Functional</t>
        </is>
      </c>
      <c r="F176" s="5" t="inlineStr">
        <is>
          <t>มีข้อมูลซ่อม/IoT ล่าสุด</t>
        </is>
      </c>
      <c r="G176" s="5" t="inlineStr">
        <is>
          <t>1. คลิก "คำนวณ Health"</t>
        </is>
      </c>
      <c r="H176" s="5" t="inlineStr">
        <is>
          <t>-</t>
        </is>
      </c>
      <c r="I176" s="5" t="inlineStr">
        <is>
          <t>toast "คำนวณ Health ใหม่ n รายการ · ต่ำกว่า 70: …"; ค่าและการกระจายอัปเดต</t>
        </is>
      </c>
      <c r="J176" s="10" t="inlineStr">
        <is>
          <t>Medium</t>
        </is>
      </c>
      <c r="K176" s="5" t="inlineStr">
        <is>
          <t>ผู้จัดการซ่อมบำรุง (maint.mgr)</t>
        </is>
      </c>
      <c r="L176" s="5" t="n"/>
      <c r="M176" s="10" t="inlineStr">
        <is>
          <t>ยังไม่ทดสอบ</t>
        </is>
      </c>
      <c r="N176" s="5" t="n"/>
      <c r="O176" s="18" t="n"/>
      <c r="P176" s="5" t="n"/>
      <c r="Q176" s="5" t="inlineStr">
        <is>
          <t>88f07cff</t>
        </is>
      </c>
    </row>
    <row r="177" ht="33" customHeight="1">
      <c r="A177" s="10" t="inlineStr">
        <is>
          <t>UAT-EAM-007</t>
        </is>
      </c>
      <c r="B177" s="5" t="inlineStr">
        <is>
          <t>EAM ลำดับชั้น &amp; Lifecycle</t>
        </is>
      </c>
      <c r="C177" s="5" t="inlineStr">
        <is>
          <t>EAM ลำดับชั้น &amp; Lifecycle</t>
        </is>
      </c>
      <c r="D177" s="5" t="inlineStr">
        <is>
          <t>กฎคำแนะนำ "ควรซ่อมเชิงแก้ไข" จากเสียซ้ำ</t>
        </is>
      </c>
      <c r="E177" s="10" t="inlineStr">
        <is>
          <t>Functional</t>
        </is>
      </c>
      <c r="F177" s="5" t="inlineStr">
        <is>
          <t>CONV-03 เสีย 3 ครั้งใน 12 เดือน (เกินเกณฑ์ 2 ครั้ง/180 วัน)</t>
        </is>
      </c>
      <c r="G177" s="5" t="inlineStr">
        <is>
          <t>1. ตรวจแถว CONV-03</t>
        </is>
      </c>
      <c r="H177" s="5" t="inlineStr">
        <is>
          <t>-</t>
        </is>
      </c>
      <c r="I177" s="5" t="inlineStr">
        <is>
          <t>แสดง "3 (ซ้ำ)" สีแดง และคำแนะนำ "ควรซ่อมเชิงแก้ไข"</t>
        </is>
      </c>
      <c r="J177" s="10" t="inlineStr">
        <is>
          <t>Medium</t>
        </is>
      </c>
      <c r="K177" s="5" t="inlineStr">
        <is>
          <t>ผู้จัดการซ่อมบำรุง (maint.mgr)</t>
        </is>
      </c>
      <c r="L177" s="5" t="n"/>
      <c r="M177" s="10" t="inlineStr">
        <is>
          <t>ยังไม่ทดสอบ</t>
        </is>
      </c>
      <c r="N177" s="5" t="n"/>
      <c r="O177" s="18" t="n"/>
      <c r="P177" s="5" t="n"/>
      <c r="Q177" s="5" t="inlineStr">
        <is>
          <t>88f07cff</t>
        </is>
      </c>
    </row>
    <row r="178" ht="33" customHeight="1">
      <c r="A178" s="10" t="inlineStr">
        <is>
          <t>UAT-EAM-008</t>
        </is>
      </c>
      <c r="B178" s="5" t="inlineStr">
        <is>
          <t>EAM ลำดับชั้น &amp; Lifecycle</t>
        </is>
      </c>
      <c r="C178" s="5" t="inlineStr">
        <is>
          <t>EAM ลำดับชั้น &amp; Lifecycle</t>
        </is>
      </c>
      <c r="D178" s="5" t="inlineStr">
        <is>
          <t>กฎ "พิจารณาทดแทน" ตามเกณฑ์ค่าซ่อมสะสม</t>
        </is>
      </c>
      <c r="E178" s="10" t="inlineStr">
        <is>
          <t>Functional</t>
        </is>
      </c>
      <c r="F178" s="5" t="inlineStr">
        <is>
          <t>ตั้งเกณฑ์ 60% ในตั้งค่า; ทรัพย์สินที่ค่าซ่อมสะสม ≥60% ราคาทุน</t>
        </is>
      </c>
      <c r="G178" s="5" t="inlineStr">
        <is>
          <t>1. คำนวณ Health
2. ตรวจคำแนะนำ</t>
        </is>
      </c>
      <c r="H178" s="5" t="inlineStr">
        <is>
          <t>-</t>
        </is>
      </c>
      <c r="I178" s="5" t="inlineStr">
        <is>
          <t>แสดงคำแนะนำ "พิจารณาทดแทน"</t>
        </is>
      </c>
      <c r="J178" s="10" t="inlineStr">
        <is>
          <t>Medium</t>
        </is>
      </c>
      <c r="K178" s="5" t="inlineStr">
        <is>
          <t>ผู้จัดการซ่อมบำรุง (maint.mgr)</t>
        </is>
      </c>
      <c r="L178" s="5" t="n"/>
      <c r="M178" s="10" t="inlineStr">
        <is>
          <t>ยังไม่ทดสอบ</t>
        </is>
      </c>
      <c r="N178" s="5" t="n"/>
      <c r="O178" s="18" t="n"/>
      <c r="P178" s="5" t="n"/>
      <c r="Q178" s="5" t="inlineStr">
        <is>
          <t>88f07cff</t>
        </is>
      </c>
    </row>
    <row r="179" ht="33" customHeight="1">
      <c r="A179" s="10" t="inlineStr">
        <is>
          <t>UAT-EAM-009</t>
        </is>
      </c>
      <c r="B179" s="5" t="inlineStr">
        <is>
          <t>EAM ลำดับชั้น &amp; Lifecycle</t>
        </is>
      </c>
      <c r="C179" s="5" t="inlineStr">
        <is>
          <t>EAM ลำดับชั้น &amp; Lifecycle</t>
        </is>
      </c>
      <c r="D179" s="5" t="inlineStr">
        <is>
          <t>Lifecycle รายทรัพย์สิน</t>
        </is>
      </c>
      <c r="E179" s="10" t="inlineStr">
        <is>
          <t>UI</t>
        </is>
      </c>
      <c r="F179" s="5" t="inlineStr">
        <is>
          <t>เข้าสู่ระบบแล้ว</t>
        </is>
      </c>
      <c r="G179" s="5" t="inlineStr">
        <is>
          <t>1. เลือกทรัพย์สินดู Lifecycle</t>
        </is>
      </c>
      <c r="H179" s="5" t="inlineStr">
        <is>
          <t>-</t>
        </is>
      </c>
      <c r="I179" s="5" t="inlineStr">
        <is>
          <t>แสดงขั้น วางแผน → จัดหา → ติดตั้ง → ใช้งาน → บำรุงรักษา → จำหน่าย และไฮไลต์ขั้นปัจจุบัน</t>
        </is>
      </c>
      <c r="J179" s="10" t="inlineStr">
        <is>
          <t>Low</t>
        </is>
      </c>
      <c r="K179" s="5" t="inlineStr">
        <is>
          <t>ผู้จัดการทรัพย์สิน (asset.mgr)</t>
        </is>
      </c>
      <c r="L179" s="5" t="n"/>
      <c r="M179" s="10" t="inlineStr">
        <is>
          <t>ยังไม่ทดสอบ</t>
        </is>
      </c>
      <c r="N179" s="5" t="n"/>
      <c r="O179" s="18" t="n"/>
      <c r="P179" s="5" t="n"/>
      <c r="Q179" s="5" t="inlineStr">
        <is>
          <t>88f07cff</t>
        </is>
      </c>
    </row>
    <row r="180" ht="33" customHeight="1">
      <c r="A180" s="10" t="inlineStr">
        <is>
          <t>UAT-EAM-010</t>
        </is>
      </c>
      <c r="B180" s="5" t="inlineStr">
        <is>
          <t>EAM ลำดับชั้น &amp; Lifecycle</t>
        </is>
      </c>
      <c r="C180" s="5" t="inlineStr">
        <is>
          <t>EAM ลำดับชั้น &amp; Lifecycle</t>
        </is>
      </c>
      <c r="D180" s="5" t="inlineStr">
        <is>
          <t>มิเตอร์ → PM อัตโนมัติ</t>
        </is>
      </c>
      <c r="E180" s="10" t="inlineStr">
        <is>
          <t>Functional</t>
        </is>
      </c>
      <c r="F180" s="5" t="inlineStr">
        <is>
          <t>CMP-02 PM ทุก 500 ชม. ใช้แล้ว 486 ชม.</t>
        </is>
      </c>
      <c r="G180" s="5" t="inlineStr">
        <is>
          <t>1. บันทึกมิเตอร์เพิ่มเป็น 500 ชม. (ผ่าน API หรือหน้า EAM)</t>
        </is>
      </c>
      <c r="H180" s="5" t="inlineStr">
        <is>
          <t>มิเตอร์ 500 ชม.</t>
        </is>
      </c>
      <c r="I180" s="5" t="inlineStr">
        <is>
          <t>ระบบสร้างใบงาน PM อัตโนมัติ และแสดงข้อความ "→ สร้าง PM-…" ในรายละเอียดโหนด</t>
        </is>
      </c>
      <c r="J180" s="10" t="inlineStr">
        <is>
          <t>High</t>
        </is>
      </c>
      <c r="K180" s="5" t="inlineStr">
        <is>
          <t>ผู้จัดการซ่อมบำรุง (maint.mgr)</t>
        </is>
      </c>
      <c r="L180" s="5" t="n"/>
      <c r="M180" s="10" t="inlineStr">
        <is>
          <t>ยังไม่ทดสอบ</t>
        </is>
      </c>
      <c r="N180" s="5" t="n"/>
      <c r="O180" s="18" t="n"/>
      <c r="P180" s="5" t="n"/>
      <c r="Q180" s="5" t="inlineStr">
        <is>
          <t>88f07cff</t>
        </is>
      </c>
    </row>
    <row r="181" ht="47.5" customHeight="1">
      <c r="A181" s="10" t="inlineStr">
        <is>
          <t>UAT-EAM-011</t>
        </is>
      </c>
      <c r="B181" s="5" t="inlineStr">
        <is>
          <t>EAM ลำดับชั้น &amp; Lifecycle</t>
        </is>
      </c>
      <c r="C181" s="5" t="inlineStr">
        <is>
          <t>EAM ลำดับชั้น &amp; Lifecycle</t>
        </is>
      </c>
      <c r="D181" s="5" t="inlineStr">
        <is>
          <t>แจ้งซ่อมจากหน้า EAM</t>
        </is>
      </c>
      <c r="E181" s="10" t="inlineStr">
        <is>
          <t>Functional</t>
        </is>
      </c>
      <c r="F181" s="5" t="inlineStr">
        <is>
          <t>เข้าสู่ระบบแล้ว</t>
        </is>
      </c>
      <c r="G181" s="5" t="inlineStr">
        <is>
          <t>1. คลิก "แจ้งซ่อม"
2. เลือกทรัพย์สิน กรอกอาการ
3. กด "ส่งแจ้งซ่อม"</t>
        </is>
      </c>
      <c r="H181" s="5" t="inlineStr">
        <is>
          <t>ทรัพย์สิน CONV-03; อาการ: สายพานสั่น มีเสียงดัง</t>
        </is>
      </c>
      <c r="I181" s="5" t="inlineStr">
        <is>
          <t>toast "ส่งแจ้งซ่อม CONV-03 แล้ว"; ใบแจ้งซ่อมใหม่ปรากฏที่หน้า ใบแจ้งซ่อม</t>
        </is>
      </c>
      <c r="J181" s="10" t="inlineStr">
        <is>
          <t>Medium</t>
        </is>
      </c>
      <c r="K181" s="5" t="inlineStr">
        <is>
          <t>ผู้แจ้งซ่อม/ผู้ใช้งานทั่วไป (user)</t>
        </is>
      </c>
      <c r="L181" s="5" t="n"/>
      <c r="M181" s="10" t="inlineStr">
        <is>
          <t>ยังไม่ทดสอบ</t>
        </is>
      </c>
      <c r="N181" s="5" t="n"/>
      <c r="O181" s="18" t="n"/>
      <c r="P181" s="5" t="n"/>
      <c r="Q181" s="5" t="inlineStr">
        <is>
          <t>88f07cff</t>
        </is>
      </c>
    </row>
    <row r="182" ht="18.5" customHeight="1">
      <c r="A182" s="10" t="inlineStr">
        <is>
          <t>UAT-EAM-012</t>
        </is>
      </c>
      <c r="B182" s="5" t="inlineStr">
        <is>
          <t>EAM ลำดับชั้น &amp; Lifecycle</t>
        </is>
      </c>
      <c r="C182" s="5" t="inlineStr">
        <is>
          <t>EAM ลำดับชั้น &amp; Lifecycle</t>
        </is>
      </c>
      <c r="D182" s="5" t="inlineStr">
        <is>
          <t>ตัวกรองไซต์ของ EAM</t>
        </is>
      </c>
      <c r="E182" s="10" t="inlineStr">
        <is>
          <t>Functional</t>
        </is>
      </c>
      <c r="F182" s="5" t="inlineStr">
        <is>
          <t>เข้าสู่ระบบแล้ว</t>
        </is>
      </c>
      <c r="G182" s="5" t="inlineStr">
        <is>
          <t>1. เปลี่ยนไซต์ในตัวกรองของหน้า</t>
        </is>
      </c>
      <c r="H182" s="5" t="inlineStr">
        <is>
          <t>-</t>
        </is>
      </c>
      <c r="I182" s="5" t="inlineStr">
        <is>
          <t>กราฟ/ต้นไม้แสดงเฉพาะไซต์ที่เลือก</t>
        </is>
      </c>
      <c r="J182" s="10" t="inlineStr">
        <is>
          <t>Low</t>
        </is>
      </c>
      <c r="K182" s="5" t="inlineStr">
        <is>
          <t>ผู้จัดการทรัพย์สิน (asset.mgr)</t>
        </is>
      </c>
      <c r="L182" s="5" t="n"/>
      <c r="M182" s="10" t="inlineStr">
        <is>
          <t>ยังไม่ทดสอบ</t>
        </is>
      </c>
      <c r="N182" s="5" t="n"/>
      <c r="O182" s="18" t="n"/>
      <c r="P182" s="5" t="n"/>
      <c r="Q182" s="5" t="inlineStr">
        <is>
          <t>88f07cff</t>
        </is>
      </c>
    </row>
    <row r="183" ht="33" customHeight="1">
      <c r="A183" s="10" t="inlineStr">
        <is>
          <t>UAT-EAM-013</t>
        </is>
      </c>
      <c r="B183" s="5" t="inlineStr">
        <is>
          <t>EAM ลำดับชั้น &amp; Lifecycle</t>
        </is>
      </c>
      <c r="C183" s="5" t="inlineStr">
        <is>
          <t>EAM ลำดับชั้น &amp; Lifecycle</t>
        </is>
      </c>
      <c r="D183" s="5" t="inlineStr">
        <is>
          <t>กรองตามระดับ Health (แย่/พอใช้/ดี)</t>
        </is>
      </c>
      <c r="E183" s="10" t="inlineStr">
        <is>
          <t>Functional</t>
        </is>
      </c>
      <c r="F183" s="5" t="inlineStr">
        <is>
          <t>อยู่แท็บ Health &amp; Reliability</t>
        </is>
      </c>
      <c r="G183" s="5" t="inlineStr">
        <is>
          <t>1. เลือกระดับ แย่ (&lt;50)</t>
        </is>
      </c>
      <c r="H183" s="5" t="inlineStr">
        <is>
          <t>-</t>
        </is>
      </c>
      <c r="I183" s="5" t="inlineStr">
        <is>
          <t>แสดงเฉพาะรายการ Health &lt;50</t>
        </is>
      </c>
      <c r="J183" s="10" t="inlineStr">
        <is>
          <t>Low</t>
        </is>
      </c>
      <c r="K183" s="5" t="inlineStr">
        <is>
          <t>ผู้จัดการซ่อมบำรุง (maint.mgr)</t>
        </is>
      </c>
      <c r="L183" s="5" t="n"/>
      <c r="M183" s="10" t="inlineStr">
        <is>
          <t>ยังไม่ทดสอบ</t>
        </is>
      </c>
      <c r="N183" s="5" t="n"/>
      <c r="O183" s="18" t="n"/>
      <c r="P183" s="5" t="inlineStr">
        <is>
          <t>ตัวกรอง band มีในระบบเดิม ยังไม่มีใน mockup</t>
        </is>
      </c>
      <c r="Q183" s="5" t="inlineStr">
        <is>
          <t>88f07cff</t>
        </is>
      </c>
    </row>
    <row r="184" ht="18.5" customHeight="1">
      <c r="A184" s="10" t="inlineStr">
        <is>
          <t>UAT-EAM-014</t>
        </is>
      </c>
      <c r="B184" s="5" t="inlineStr">
        <is>
          <t>EAM ลำดับชั้น &amp; Lifecycle</t>
        </is>
      </c>
      <c r="C184" s="5" t="inlineStr">
        <is>
          <t>EAM ลำดับชั้น &amp; Lifecycle</t>
        </is>
      </c>
      <c r="D184" s="5" t="inlineStr">
        <is>
          <t>ผู้ไม่มีสิทธิ์จัดการลำดับชั้น</t>
        </is>
      </c>
      <c r="E184" s="10" t="inlineStr">
        <is>
          <t>Permission</t>
        </is>
      </c>
      <c r="F184" s="5" t="inlineStr">
        <is>
          <t>ล็อกอินเป็นผู้แจ้งซ่อม</t>
        </is>
      </c>
      <c r="G184" s="5" t="inlineStr">
        <is>
          <t>1. เปิดหน้า EAM</t>
        </is>
      </c>
      <c r="H184" s="5" t="inlineStr">
        <is>
          <t>-</t>
        </is>
      </c>
      <c r="I184" s="5" t="inlineStr">
        <is>
          <t>ไม่มีปุ่มคำนวณ/แก้ไขลำดับชั้น หรือไม่เห็นเมนู</t>
        </is>
      </c>
      <c r="J184" s="10" t="inlineStr">
        <is>
          <t>Medium</t>
        </is>
      </c>
      <c r="K184" s="5" t="inlineStr">
        <is>
          <t>ผู้แจ้งซ่อม/ผู้ใช้งานทั่วไป (user)</t>
        </is>
      </c>
      <c r="L184" s="5" t="n"/>
      <c r="M184" s="10" t="inlineStr">
        <is>
          <t>ยังไม่ทดสอบ</t>
        </is>
      </c>
      <c r="N184" s="5" t="n"/>
      <c r="O184" s="18" t="n"/>
      <c r="P184" s="5" t="n"/>
      <c r="Q184" s="5" t="inlineStr">
        <is>
          <t>88f07cff</t>
        </is>
      </c>
    </row>
    <row r="185" ht="33" customHeight="1">
      <c r="A185" s="10" t="inlineStr">
        <is>
          <t>UAT-EAM-015</t>
        </is>
      </c>
      <c r="B185" s="5" t="inlineStr">
        <is>
          <t>EAM ลำดับชั้น &amp; Lifecycle</t>
        </is>
      </c>
      <c r="C185" s="5" t="inlineStr">
        <is>
          <t>EAM ลำดับชั้น &amp; Lifecycle</t>
        </is>
      </c>
      <c r="D185" s="5" t="inlineStr">
        <is>
          <t>ค้นหาไม่พบข้อมูล (EAM ลำดับชั้น &amp; Lifecycle)</t>
        </is>
      </c>
      <c r="E185" s="10" t="inlineStr">
        <is>
          <t>Negative</t>
        </is>
      </c>
      <c r="F185" s="5" t="inlineStr">
        <is>
          <t>เข้าสู่ระบบแล้ว และอยู่ที่หน้าEAM ลำดับชั้น &amp; Lifecycle</t>
        </is>
      </c>
      <c r="G185" s="5" t="inlineStr">
        <is>
          <t>1. พิมพ์คำค้นที่ไม่มีอยู่จริงในช่อง "ค้นหาทรัพย์สิน / รหัสที่ตั้ง…"
2. สังเกตตาราง/รายการ</t>
        </is>
      </c>
      <c r="H185" s="5" t="inlineStr">
        <is>
          <t>คำค้น: ZZZ-NOTFOUND-999</t>
        </is>
      </c>
      <c r="I185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185" s="10" t="inlineStr">
        <is>
          <t>Low</t>
        </is>
      </c>
      <c r="K185" s="5" t="inlineStr">
        <is>
          <t>ผู้จัดการทรัพย์สิน (asset.mgr)</t>
        </is>
      </c>
      <c r="L185" s="5" t="n"/>
      <c r="M185" s="10" t="inlineStr">
        <is>
          <t>ยังไม่ทดสอบ</t>
        </is>
      </c>
      <c r="N185" s="5" t="n"/>
      <c r="O185" s="18" t="n"/>
      <c r="P185" s="5" t="n"/>
      <c r="Q185" s="5" t="inlineStr">
        <is>
          <t>88f07cff</t>
        </is>
      </c>
    </row>
    <row r="186" ht="47.5" customHeight="1">
      <c r="A186" s="10" t="inlineStr">
        <is>
          <t>UAT-EAM-016</t>
        </is>
      </c>
      <c r="B186" s="5" t="inlineStr">
        <is>
          <t>EAM ลำดับชั้น &amp; Lifecycle</t>
        </is>
      </c>
      <c r="C186" s="5" t="inlineStr">
        <is>
          <t>EAM ลำดับชั้น &amp; Lifecycle</t>
        </is>
      </c>
      <c r="D186" s="5" t="inlineStr">
        <is>
          <t>ค้นหาด้วยคำค้นที่มีอยู่จริง (EAM ลำดับชั้น &amp; Lifecycle)</t>
        </is>
      </c>
      <c r="E186" s="10" t="inlineStr">
        <is>
          <t>Functional</t>
        </is>
      </c>
      <c r="F186" s="5" t="inlineStr">
        <is>
          <t>เข้าสู่ระบบแล้ว และอยู่ที่หน้าEAM ลำดับชั้น &amp; Lifecycle</t>
        </is>
      </c>
      <c r="G186" s="5" t="inlineStr">
        <is>
          <t>1. พิมพ์คำค้นในช่อง "ค้นหาทรัพย์สิน / รหัสที่ตั้ง…"
2. ตรวจรายการที่แสดง
3. ล้างคำค้น</t>
        </is>
      </c>
      <c r="H186" s="5" t="inlineStr">
        <is>
          <t>คำค้น: MTR-007</t>
        </is>
      </c>
      <c r="I186" s="5" t="inlineStr">
        <is>
          <t>แสดงเฉพาะรายการที่ตรงกับคำค้น (โหนด MTR-007); เมื่อล้างคำค้นรายการกลับมาครบ</t>
        </is>
      </c>
      <c r="J186" s="10" t="inlineStr">
        <is>
          <t>Medium</t>
        </is>
      </c>
      <c r="K186" s="5" t="inlineStr">
        <is>
          <t>ผู้จัดการทรัพย์สิน (asset.mgr)</t>
        </is>
      </c>
      <c r="L186" s="5" t="n"/>
      <c r="M186" s="10" t="inlineStr">
        <is>
          <t>ยังไม่ทดสอบ</t>
        </is>
      </c>
      <c r="N186" s="5" t="n"/>
      <c r="O186" s="18" t="n"/>
      <c r="P186" s="5" t="n"/>
      <c r="Q186" s="5" t="inlineStr">
        <is>
          <t>88f07cff</t>
        </is>
      </c>
    </row>
    <row r="187" ht="62" customHeight="1">
      <c r="A187" s="10" t="inlineStr">
        <is>
          <t>UAT-EAM-017</t>
        </is>
      </c>
      <c r="B187" s="5" t="inlineStr">
        <is>
          <t>EAM ลำดับชั้น &amp; Lifecycle</t>
        </is>
      </c>
      <c r="C187" s="5" t="inlineStr">
        <is>
          <t>EAM ลำดับชั้น &amp; Lifecycle</t>
        </is>
      </c>
      <c r="D187" s="5" t="inlineStr">
        <is>
          <t>แสดงผลบนมือถือ 375px (EAM ลำดับชั้น &amp; Lifecycle)</t>
        </is>
      </c>
      <c r="E187" s="10" t="inlineStr">
        <is>
          <t>Responsive</t>
        </is>
      </c>
      <c r="F187" s="5" t="inlineStr">
        <is>
          <t>เข้าสู่ระบบแล้ว; เปิด DevTools โหมดอุปกรณ์ iPhone SE/375×667</t>
        </is>
      </c>
      <c r="G187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187" s="5" t="inlineStr">
        <is>
          <t>ความกว้าง 375px</t>
        </is>
      </c>
      <c r="I187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187" s="10" t="inlineStr">
        <is>
          <t>Medium</t>
        </is>
      </c>
      <c r="K187" s="5" t="inlineStr">
        <is>
          <t>ผู้จัดการทรัพย์สิน (asset.mgr)</t>
        </is>
      </c>
      <c r="L187" s="5" t="n"/>
      <c r="M187" s="10" t="inlineStr">
        <is>
          <t>ยังไม่ทดสอบ</t>
        </is>
      </c>
      <c r="N187" s="5" t="n"/>
      <c r="O187" s="18" t="n"/>
      <c r="P187" s="5" t="n"/>
      <c r="Q187" s="5" t="inlineStr">
        <is>
          <t>88f07cff</t>
        </is>
      </c>
    </row>
    <row r="188" ht="62" customHeight="1">
      <c r="A188" s="10" t="inlineStr">
        <is>
          <t>UAT-EAM-018</t>
        </is>
      </c>
      <c r="B188" s="5" t="inlineStr">
        <is>
          <t>EAM ลำดับชั้น &amp; Lifecycle</t>
        </is>
      </c>
      <c r="C188" s="5" t="inlineStr">
        <is>
          <t>EAM ลำดับชั้น &amp; Lifecycle</t>
        </is>
      </c>
      <c r="D188" s="5" t="inlineStr">
        <is>
          <t>แสดงผลบน Desktop 1920px และความอ่านง่ายธีมมืด (EAM ลำดับชั้น &amp; Lifecycle)</t>
        </is>
      </c>
      <c r="E188" s="10" t="inlineStr">
        <is>
          <t>UI</t>
        </is>
      </c>
      <c r="F188" s="5" t="inlineStr">
        <is>
          <t>เข้าสู่ระบบแล้ว; หน้าจอ 1920×1080</t>
        </is>
      </c>
      <c r="G188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188" s="5" t="inlineStr">
        <is>
          <t>ความกว้าง 1920px</t>
        </is>
      </c>
      <c r="I188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188" s="10" t="inlineStr">
        <is>
          <t>Low</t>
        </is>
      </c>
      <c r="K188" s="5" t="inlineStr">
        <is>
          <t>ผู้จัดการทรัพย์สิน (asset.mgr)</t>
        </is>
      </c>
      <c r="L188" s="5" t="n"/>
      <c r="M188" s="10" t="inlineStr">
        <is>
          <t>ยังไม่ทดสอบ</t>
        </is>
      </c>
      <c r="N188" s="5" t="n"/>
      <c r="O188" s="18" t="n"/>
      <c r="P188" s="5" t="n"/>
      <c r="Q188" s="5" t="inlineStr">
        <is>
          <t>88f07cff</t>
        </is>
      </c>
    </row>
    <row r="189" ht="47.5" customHeight="1">
      <c r="A189" s="10" t="inlineStr">
        <is>
          <t>UAT-TRK-001</t>
        </is>
      </c>
      <c r="B189" s="5" t="inlineStr">
        <is>
          <t>ติดตามตำแหน่ง (QR · RFID · GPS)</t>
        </is>
      </c>
      <c r="C189" s="5" t="inlineStr">
        <is>
          <t>ติดตามตำแหน่ง</t>
        </is>
      </c>
      <c r="D189" s="5" t="inlineStr">
        <is>
          <t>แท็บภาพรวม: KPI และผังอาคาร</t>
        </is>
      </c>
      <c r="E189" s="10" t="inlineStr">
        <is>
          <t>UI</t>
        </is>
      </c>
      <c r="F189" s="5" t="inlineStr">
        <is>
          <t>เข้าสู่ระบบแล้ว</t>
        </is>
      </c>
      <c r="G189" s="5" t="inlineStr">
        <is>
          <t>1. เปิดหน้า ติดตามตำแหน่ง</t>
        </is>
      </c>
      <c r="H189" s="5" t="inlineStr">
        <is>
          <t>-</t>
        </is>
      </c>
      <c r="I189" s="5" t="inlineStr">
        <is>
          <t>KPI ติดแท็ก/Geofence 11, พบใน 24 ชม., นอกเขต (ยังไม่รับทราบ) 2, พบผิดที่ 1, ไม่พบนาน 4; ผังอาคารแสดงจุดทรัพย์สิน จุดผิดที่เป็นสีแดง</t>
        </is>
      </c>
      <c r="J189" s="10" t="inlineStr">
        <is>
          <t>Medium</t>
        </is>
      </c>
      <c r="K189" s="5" t="inlineStr">
        <is>
          <t>ผู้จัดการทรัพย์สิน (asset.mgr)</t>
        </is>
      </c>
      <c r="L189" s="5" t="n"/>
      <c r="M189" s="10" t="inlineStr">
        <is>
          <t>ยังไม่ทดสอบ</t>
        </is>
      </c>
      <c r="N189" s="5" t="n"/>
      <c r="O189" s="18" t="n"/>
      <c r="P189" s="5" t="n"/>
      <c r="Q189" s="5" t="inlineStr">
        <is>
          <t>3de213f2</t>
        </is>
      </c>
    </row>
    <row r="190" ht="33" customHeight="1">
      <c r="A190" s="10" t="inlineStr">
        <is>
          <t>UAT-TRK-002</t>
        </is>
      </c>
      <c r="B190" s="5" t="inlineStr">
        <is>
          <t>ติดตามตำแหน่ง (QR · RFID · GPS)</t>
        </is>
      </c>
      <c r="C190" s="5" t="inlineStr">
        <is>
          <t>ติดตามตำแหน่ง</t>
        </is>
      </c>
      <c r="D190" s="5" t="inlineStr">
        <is>
          <t>ตารางตำแหน่งล่าสุด: ผิดที่เทียบทะเบียน</t>
        </is>
      </c>
      <c r="E190" s="10" t="inlineStr">
        <is>
          <t>Functional</t>
        </is>
      </c>
      <c r="F190" s="5" t="inlineStr">
        <is>
          <t>เข้าสู่ระบบแล้ว</t>
        </is>
      </c>
      <c r="G190" s="5" t="inlineStr">
        <is>
          <t>1. ตรวจแถว MTR-007</t>
        </is>
      </c>
      <c r="H190" s="5" t="inlineStr">
        <is>
          <t>-</t>
        </is>
      </c>
      <c r="I190" s="5" t="inlineStr">
        <is>
          <t>แสดง แหล่ง RFID, ตำแหน่งที่พบ คลังสินค้า/คลังอะไหล่, ตามทะเบียน สายการผลิต B, เวลา พ.ศ.; ไฮไลต์ว่าผิดที่</t>
        </is>
      </c>
      <c r="J190" s="10" t="inlineStr">
        <is>
          <t>High</t>
        </is>
      </c>
      <c r="K190" s="5" t="inlineStr">
        <is>
          <t>ผู้จัดการทรัพย์สิน (asset.mgr)</t>
        </is>
      </c>
      <c r="L190" s="5" t="n"/>
      <c r="M190" s="10" t="inlineStr">
        <is>
          <t>ยังไม่ทดสอบ</t>
        </is>
      </c>
      <c r="N190" s="5" t="n"/>
      <c r="O190" s="18" t="n"/>
      <c r="P190" s="5" t="n"/>
      <c r="Q190" s="5" t="inlineStr">
        <is>
          <t>3de213f2</t>
        </is>
      </c>
    </row>
    <row r="191" ht="33" customHeight="1">
      <c r="A191" s="10" t="inlineStr">
        <is>
          <t>UAT-TRK-003</t>
        </is>
      </c>
      <c r="B191" s="5" t="inlineStr">
        <is>
          <t>ติดตามตำแหน่ง (QR · RFID · GPS)</t>
        </is>
      </c>
      <c r="C191" s="5" t="inlineStr">
        <is>
          <t>ติดตามตำแหน่ง</t>
        </is>
      </c>
      <c r="D191" s="5" t="inlineStr">
        <is>
          <t>แผนที่ Geofence &amp; GPS</t>
        </is>
      </c>
      <c r="E191" s="10" t="inlineStr">
        <is>
          <t>UI</t>
        </is>
      </c>
      <c r="F191" s="5" t="inlineStr">
        <is>
          <t>เข้าสู่ระบบแล้ว</t>
        </is>
      </c>
      <c r="G191" s="5" t="inlineStr">
        <is>
          <t>1. ตรวจแผนที่
2. คลิก marker</t>
        </is>
      </c>
      <c r="H191" s="5" t="inlineStr">
        <is>
          <t>-</t>
        </is>
      </c>
      <c r="I191" s="5" t="inlineStr">
        <is>
          <t>วง Geofence สีแดง; จุดนอกเขตสีแดง; popup แสดง Tag ชื่อ เวลา</t>
        </is>
      </c>
      <c r="J191" s="10" t="inlineStr">
        <is>
          <t>Medium</t>
        </is>
      </c>
      <c r="K191" s="5" t="inlineStr">
        <is>
          <t>ผู้จัดการทรัพย์สิน (asset.mgr)</t>
        </is>
      </c>
      <c r="L191" s="5" t="n"/>
      <c r="M191" s="10" t="inlineStr">
        <is>
          <t>ยังไม่ทดสอบ</t>
        </is>
      </c>
      <c r="N191" s="5" t="n"/>
      <c r="O191" s="18" t="n"/>
      <c r="P191" s="5" t="n"/>
      <c r="Q191" s="5" t="inlineStr">
        <is>
          <t>3de213f2</t>
        </is>
      </c>
    </row>
    <row r="192" ht="33" customHeight="1">
      <c r="A192" s="10" t="inlineStr">
        <is>
          <t>UAT-TRK-004</t>
        </is>
      </c>
      <c r="B192" s="5" t="inlineStr">
        <is>
          <t>ติดตามตำแหน่ง (QR · RFID · GPS)</t>
        </is>
      </c>
      <c r="C192" s="5" t="inlineStr">
        <is>
          <t>ติดตามตำแหน่ง</t>
        </is>
      </c>
      <c r="D192" s="5" t="inlineStr">
        <is>
          <t>แท็บแจ้งเตือนนอกเขต: รับทราบ</t>
        </is>
      </c>
      <c r="E192" s="10" t="inlineStr">
        <is>
          <t>Functional</t>
        </is>
      </c>
      <c r="F192" s="5" t="inlineStr">
        <is>
          <t>มีแจ้งเตือนนอกเขต 2 รายการ</t>
        </is>
      </c>
      <c r="G192" s="5" t="inlineStr">
        <is>
          <t>1. คลิกแท็บ แจ้งเตือนนอกเขต
2. คลิก "รับทราบ" ที่ VH-001</t>
        </is>
      </c>
      <c r="H192" s="5" t="inlineStr">
        <is>
          <t>-</t>
        </is>
      </c>
      <c r="I192" s="5" t="inlineStr">
        <is>
          <t>toast "รับทราบการแจ้งเตือน VH-001 แล้ว"; badge แท็บลดเป็น 1; KPI นอกเขตลดลง; รายการเปลี่ยนเป็น "รับทราบแล้ว"</t>
        </is>
      </c>
      <c r="J192" s="10" t="inlineStr">
        <is>
          <t>High</t>
        </is>
      </c>
      <c r="K192" s="5" t="inlineStr">
        <is>
          <t>ผู้จัดการทรัพย์สิน (asset.mgr)</t>
        </is>
      </c>
      <c r="L192" s="5" t="n"/>
      <c r="M192" s="10" t="inlineStr">
        <is>
          <t>ยังไม่ทดสอบ</t>
        </is>
      </c>
      <c r="N192" s="5" t="n"/>
      <c r="O192" s="18" t="n"/>
      <c r="P192" s="5" t="n"/>
      <c r="Q192" s="5" t="inlineStr">
        <is>
          <t>3de213f2</t>
        </is>
      </c>
    </row>
    <row r="193" ht="47.5" customHeight="1">
      <c r="A193" s="10" t="inlineStr">
        <is>
          <t>UAT-TRK-005</t>
        </is>
      </c>
      <c r="B193" s="5" t="inlineStr">
        <is>
          <t>ติดตามตำแหน่ง (QR · RFID · GPS)</t>
        </is>
      </c>
      <c r="C193" s="5" t="inlineStr">
        <is>
          <t>ติดตามตำแหน่ง</t>
        </is>
      </c>
      <c r="D193" s="5" t="inlineStr">
        <is>
          <t>สแกนบันทึกตำแหน่ง</t>
        </is>
      </c>
      <c r="E193" s="10" t="inlineStr">
        <is>
          <t>Functional</t>
        </is>
      </c>
      <c r="F193" s="5" t="inlineStr">
        <is>
          <t>มีสิทธิ์ สแกน</t>
        </is>
      </c>
      <c r="G193" s="5" t="inlineStr">
        <is>
          <t>1. คลิก "สแกน"
2. กรอก Asset Tag และเลือกโซน
3. กด "บันทึกการสแกน"</t>
        </is>
      </c>
      <c r="H193" s="5" t="inlineStr">
        <is>
          <t>MTR-007; โซน B · Line 2</t>
        </is>
      </c>
      <c r="I193" s="5" t="inlineStr">
        <is>
          <t>toast "บันทึกการสแกน MTR-007 · โซน B · Line 2 แล้ว"; ตำแหน่งล่าสุดอัปเดต; สถานะผิดที่หายไปถ้าตรงทะเบียน</t>
        </is>
      </c>
      <c r="J193" s="10" t="inlineStr">
        <is>
          <t>High</t>
        </is>
      </c>
      <c r="K193" s="5" t="inlineStr">
        <is>
          <t>ช่างซ่อมบำรุง (somchai)</t>
        </is>
      </c>
      <c r="L193" s="5" t="n"/>
      <c r="M193" s="10" t="inlineStr">
        <is>
          <t>ยังไม่ทดสอบ</t>
        </is>
      </c>
      <c r="N193" s="5" t="n"/>
      <c r="O193" s="18" t="n"/>
      <c r="P193" s="5" t="n"/>
      <c r="Q193" s="5" t="inlineStr">
        <is>
          <t>3de213f2</t>
        </is>
      </c>
    </row>
    <row r="194" ht="33" customHeight="1">
      <c r="A194" s="10" t="inlineStr">
        <is>
          <t>UAT-TRK-006</t>
        </is>
      </c>
      <c r="B194" s="5" t="inlineStr">
        <is>
          <t>ติดตามตำแหน่ง (QR · RFID · GPS)</t>
        </is>
      </c>
      <c r="C194" s="5" t="inlineStr">
        <is>
          <t>ติดตามตำแหน่ง</t>
        </is>
      </c>
      <c r="D194" s="5" t="inlineStr">
        <is>
          <t>สแกนโดยไม่กรอก Asset Tag</t>
        </is>
      </c>
      <c r="E194" s="10" t="inlineStr">
        <is>
          <t>Validation</t>
        </is>
      </c>
      <c r="F194" s="5" t="inlineStr">
        <is>
          <t>เปิดฟอร์มสแกน</t>
        </is>
      </c>
      <c r="G194" s="5" t="inlineStr">
        <is>
          <t>1. เว้นว่าง Asset Tag
2. บันทึก</t>
        </is>
      </c>
      <c r="H194" s="5" t="inlineStr">
        <is>
          <t>-</t>
        </is>
      </c>
      <c r="I194" s="5" t="inlineStr">
        <is>
          <t>แจ้งเตือนฟิลด์บังคับ ไม่บันทึก</t>
        </is>
      </c>
      <c r="J194" s="10" t="inlineStr">
        <is>
          <t>Medium</t>
        </is>
      </c>
      <c r="K194" s="5" t="inlineStr">
        <is>
          <t>ช่างซ่อมบำรุง (somchai)</t>
        </is>
      </c>
      <c r="L194" s="5" t="n"/>
      <c r="M194" s="10" t="inlineStr">
        <is>
          <t>ยังไม่ทดสอบ</t>
        </is>
      </c>
      <c r="N194" s="5" t="n"/>
      <c r="O194" s="18" t="n"/>
      <c r="P194" s="5" t="n"/>
      <c r="Q194" s="5" t="inlineStr">
        <is>
          <t>3de213f2</t>
        </is>
      </c>
    </row>
    <row r="195" ht="33" customHeight="1">
      <c r="A195" s="10" t="inlineStr">
        <is>
          <t>UAT-TRK-007</t>
        </is>
      </c>
      <c r="B195" s="5" t="inlineStr">
        <is>
          <t>ติดตามตำแหน่ง (QR · RFID · GPS)</t>
        </is>
      </c>
      <c r="C195" s="5" t="inlineStr">
        <is>
          <t>ติดตามตำแหน่ง</t>
        </is>
      </c>
      <c r="D195" s="5" t="inlineStr">
        <is>
          <t>สแกน Asset Tag ที่ไม่มีในทะเบียน</t>
        </is>
      </c>
      <c r="E195" s="10" t="inlineStr">
        <is>
          <t>Negative</t>
        </is>
      </c>
      <c r="F195" s="5" t="inlineStr">
        <is>
          <t>เปิดฟอร์มสแกน</t>
        </is>
      </c>
      <c r="G195" s="5" t="inlineStr">
        <is>
          <t>1. กรอก Tag ที่ไม่มี
2. บันทึก</t>
        </is>
      </c>
      <c r="H195" s="5" t="inlineStr">
        <is>
          <t>XXX-999</t>
        </is>
      </c>
      <c r="I195" s="5" t="inlineStr">
        <is>
          <t>แจ้ง "ไม่พบทรัพย์สิน" ไม่บันทึก</t>
        </is>
      </c>
      <c r="J195" s="10" t="inlineStr">
        <is>
          <t>Medium</t>
        </is>
      </c>
      <c r="K195" s="5" t="inlineStr">
        <is>
          <t>ช่างซ่อมบำรุง (somchai)</t>
        </is>
      </c>
      <c r="L195" s="5" t="n"/>
      <c r="M195" s="10" t="inlineStr">
        <is>
          <t>ยังไม่ทดสอบ</t>
        </is>
      </c>
      <c r="N195" s="5" t="n"/>
      <c r="O195" s="18" t="n"/>
      <c r="P195" s="5" t="n"/>
      <c r="Q195" s="5" t="inlineStr">
        <is>
          <t>3de213f2</t>
        </is>
      </c>
    </row>
    <row r="196" ht="47.5" customHeight="1">
      <c r="A196" s="10" t="inlineStr">
        <is>
          <t>UAT-TRK-008</t>
        </is>
      </c>
      <c r="B196" s="5" t="inlineStr">
        <is>
          <t>ติดตามตำแหน่ง (QR · RFID · GPS)</t>
        </is>
      </c>
      <c r="C196" s="5" t="inlineStr">
        <is>
          <t>ติดตามตำแหน่ง</t>
        </is>
      </c>
      <c r="D196" s="5" t="inlineStr">
        <is>
          <t>เพิ่มโซน &amp; เครื่องอ่าน</t>
        </is>
      </c>
      <c r="E196" s="10" t="inlineStr">
        <is>
          <t>Functional</t>
        </is>
      </c>
      <c r="F196" s="5" t="inlineStr">
        <is>
          <t>มีสิทธิ์ จัดการโซน/Reader</t>
        </is>
      </c>
      <c r="G196" s="5" t="inlineStr">
        <is>
          <t>1. แท็บ โซน &amp; เครื่องอ่าน → "โซน"
2. กรอกชื่อโซน ประเภท รัศมี
3. กด "บันทึกโซน"</t>
        </is>
      </c>
      <c r="H196" s="5" t="inlineStr">
        <is>
          <t>โซน C · Line 3; Geofence; รัศมี 150 ม.</t>
        </is>
      </c>
      <c r="I196" s="5" t="inlineStr">
        <is>
          <t>toast "เพิ่มโซน โซน C · Line 3 แล้ว"; การ์ดโซนใหม่สถานะ "รอติดตั้ง"</t>
        </is>
      </c>
      <c r="J196" s="10" t="inlineStr">
        <is>
          <t>Medium</t>
        </is>
      </c>
      <c r="K196" s="5" t="inlineStr">
        <is>
          <t>ผู้ดูแลระบบ IT (it.admin)</t>
        </is>
      </c>
      <c r="L196" s="5" t="n"/>
      <c r="M196" s="10" t="inlineStr">
        <is>
          <t>ยังไม่ทดสอบ</t>
        </is>
      </c>
      <c r="N196" s="5" t="n"/>
      <c r="O196" s="18" t="n"/>
      <c r="P196" s="5" t="n"/>
      <c r="Q196" s="5" t="inlineStr">
        <is>
          <t>3de213f2</t>
        </is>
      </c>
    </row>
    <row r="197" ht="76.5" customHeight="1">
      <c r="A197" s="10" t="inlineStr">
        <is>
          <t>UAT-TRK-009</t>
        </is>
      </c>
      <c r="B197" s="5" t="inlineStr">
        <is>
          <t>ติดตามตำแหน่ง (QR · RFID · GPS)</t>
        </is>
      </c>
      <c r="C197" s="5" t="inlineStr">
        <is>
          <t>ติดตามตำแหน่ง</t>
        </is>
      </c>
      <c r="D197" s="5" t="inlineStr">
        <is>
          <t>เพิ่มฟิลด์เพิ่มเติม (Custom Field) ในฟอร์มเพิ่มโซน</t>
        </is>
      </c>
      <c r="E197" s="10" t="inlineStr">
        <is>
          <t>Functional</t>
        </is>
      </c>
      <c r="F197" s="5" t="inlineStr">
        <is>
          <t>เข้าสู่ระบบแล้ว; เปิดฟอร์มเพิ่มโซน</t>
        </is>
      </c>
      <c r="G197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197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197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197" s="10" t="inlineStr">
        <is>
          <t>Medium</t>
        </is>
      </c>
      <c r="K197" s="5" t="inlineStr">
        <is>
          <t>ผู้ดูแลระบบ IT (it.admin)</t>
        </is>
      </c>
      <c r="L197" s="5" t="n"/>
      <c r="M197" s="10" t="inlineStr">
        <is>
          <t>ยังไม่ทดสอบ</t>
        </is>
      </c>
      <c r="N197" s="5" t="n"/>
      <c r="O197" s="18" t="n"/>
      <c r="P197" s="5" t="n"/>
      <c r="Q197" s="5" t="inlineStr">
        <is>
          <t>3de213f2</t>
        </is>
      </c>
    </row>
    <row r="198" ht="33" customHeight="1">
      <c r="A198" s="10" t="inlineStr">
        <is>
          <t>UAT-TRK-010</t>
        </is>
      </c>
      <c r="B198" s="5" t="inlineStr">
        <is>
          <t>ติดตามตำแหน่ง (QR · RFID · GPS)</t>
        </is>
      </c>
      <c r="C198" s="5" t="inlineStr">
        <is>
          <t>ติดตามตำแหน่ง</t>
        </is>
      </c>
      <c r="D198" s="5" t="inlineStr">
        <is>
          <t>รัศมีโซนไม่ถูกต้อง</t>
        </is>
      </c>
      <c r="E198" s="10" t="inlineStr">
        <is>
          <t>Validation</t>
        </is>
      </c>
      <c r="F198" s="5" t="inlineStr">
        <is>
          <t>เปิดฟอร์มเพิ่มโซน</t>
        </is>
      </c>
      <c r="G198" s="5" t="inlineStr">
        <is>
          <t>1. กรอกรัศมี 0 หรือติดลบ</t>
        </is>
      </c>
      <c r="H198" s="5" t="inlineStr">
        <is>
          <t>-1</t>
        </is>
      </c>
      <c r="I198" s="5" t="inlineStr">
        <is>
          <t>ไม่บันทึก แจ้งค่าต้องมากกว่า 0</t>
        </is>
      </c>
      <c r="J198" s="10" t="inlineStr">
        <is>
          <t>Low</t>
        </is>
      </c>
      <c r="K198" s="5" t="inlineStr">
        <is>
          <t>ผู้ดูแลระบบ IT (it.admin)</t>
        </is>
      </c>
      <c r="L198" s="5" t="n"/>
      <c r="M198" s="10" t="inlineStr">
        <is>
          <t>ยังไม่ทดสอบ</t>
        </is>
      </c>
      <c r="N198" s="5" t="n"/>
      <c r="O198" s="18" t="n"/>
      <c r="P198" s="5" t="n"/>
      <c r="Q198" s="5" t="inlineStr">
        <is>
          <t>3de213f2</t>
        </is>
      </c>
    </row>
    <row r="199" ht="33" customHeight="1">
      <c r="A199" s="10" t="inlineStr">
        <is>
          <t>UAT-TRK-011</t>
        </is>
      </c>
      <c r="B199" s="5" t="inlineStr">
        <is>
          <t>ติดตามตำแหน่ง (QR · RFID · GPS)</t>
        </is>
      </c>
      <c r="C199" s="5" t="inlineStr">
        <is>
          <t>ติดตามตำแหน่ง</t>
        </is>
      </c>
      <c r="D199" s="5" t="inlineStr">
        <is>
          <t>การ์ดเครื่องอ่าน/Tracker แสดงสถานะออฟไลน์</t>
        </is>
      </c>
      <c r="E199" s="10" t="inlineStr">
        <is>
          <t>UI</t>
        </is>
      </c>
      <c r="F199" s="5" t="inlineStr">
        <is>
          <t>เข้าสู่ระบบแล้ว</t>
        </is>
      </c>
      <c r="G199" s="5" t="inlineStr">
        <is>
          <t>1. ตรวจการ์ด G-01, G-02, G-03, GPS-FL02</t>
        </is>
      </c>
      <c r="H199" s="5" t="inlineStr">
        <is>
          <t>-</t>
        </is>
      </c>
      <c r="I199" s="5" t="inlineStr">
        <is>
          <t>แสดงประเภท โซน จำนวนอ่าน 24 ชม. เวลาล่าสุด และสถานะออฟไลน์เป็นสีเตือน</t>
        </is>
      </c>
      <c r="J199" s="10" t="inlineStr">
        <is>
          <t>Low</t>
        </is>
      </c>
      <c r="K199" s="5" t="inlineStr">
        <is>
          <t>ผู้ดูแลระบบ IT (it.admin)</t>
        </is>
      </c>
      <c r="L199" s="5" t="n"/>
      <c r="M199" s="10" t="inlineStr">
        <is>
          <t>ยังไม่ทดสอบ</t>
        </is>
      </c>
      <c r="N199" s="5" t="n"/>
      <c r="O199" s="18" t="n"/>
      <c r="P199" s="5" t="n"/>
      <c r="Q199" s="5" t="inlineStr">
        <is>
          <t>3de213f2</t>
        </is>
      </c>
    </row>
    <row r="200" ht="33" customHeight="1">
      <c r="A200" s="10" t="inlineStr">
        <is>
          <t>UAT-TRK-012</t>
        </is>
      </c>
      <c r="B200" s="5" t="inlineStr">
        <is>
          <t>ติดตามตำแหน่ง (QR · RFID · GPS)</t>
        </is>
      </c>
      <c r="C200" s="5" t="inlineStr">
        <is>
          <t>ติดตามตำแหน่ง</t>
        </is>
      </c>
      <c r="D200" s="5" t="inlineStr">
        <is>
          <t>แท็บเหตุการณ์ 7 วัน</t>
        </is>
      </c>
      <c r="E200" s="10" t="inlineStr">
        <is>
          <t>UI</t>
        </is>
      </c>
      <c r="F200" s="5" t="inlineStr">
        <is>
          <t>เข้าสู่ระบบแล้ว</t>
        </is>
      </c>
      <c r="G200" s="5" t="inlineStr">
        <is>
          <t>1. คลิกแท็บ เหตุการณ์</t>
        </is>
      </c>
      <c r="H200" s="5" t="inlineStr">
        <is>
          <t>-</t>
        </is>
      </c>
      <c r="I200" s="5" t="inlineStr">
        <is>
          <t>กราฟเหตุการณ์ 7 วันตามแหล่งข้อมูล (QR/RFID/GPS) และรายการล่าสุด</t>
        </is>
      </c>
      <c r="J200" s="10" t="inlineStr">
        <is>
          <t>Low</t>
        </is>
      </c>
      <c r="K200" s="5" t="inlineStr">
        <is>
          <t>ผู้จัดการทรัพย์สิน (asset.mgr)</t>
        </is>
      </c>
      <c r="L200" s="5" t="n"/>
      <c r="M200" s="10" t="inlineStr">
        <is>
          <t>ยังไม่ทดสอบ</t>
        </is>
      </c>
      <c r="N200" s="5" t="n"/>
      <c r="O200" s="18" t="n"/>
      <c r="P200" s="5" t="n"/>
      <c r="Q200" s="5" t="inlineStr">
        <is>
          <t>3de213f2</t>
        </is>
      </c>
    </row>
    <row r="201" ht="33" customHeight="1">
      <c r="A201" s="10" t="inlineStr">
        <is>
          <t>UAT-TRK-013</t>
        </is>
      </c>
      <c r="B201" s="5" t="inlineStr">
        <is>
          <t>ติดตามตำแหน่ง (QR · RFID · GPS)</t>
        </is>
      </c>
      <c r="C201" s="5" t="inlineStr">
        <is>
          <t>ติดตามตำแหน่ง</t>
        </is>
      </c>
      <c r="D201" s="5" t="inlineStr">
        <is>
          <t>เปลี่ยนไซต์</t>
        </is>
      </c>
      <c r="E201" s="10" t="inlineStr">
        <is>
          <t>Functional</t>
        </is>
      </c>
      <c r="F201" s="5" t="inlineStr">
        <is>
          <t>เข้าสู่ระบบแล้ว</t>
        </is>
      </c>
      <c r="G201" s="5" t="inlineStr">
        <is>
          <t>1. เลือกไซต์ โรงงานระยอง</t>
        </is>
      </c>
      <c r="H201" s="5" t="inlineStr">
        <is>
          <t>-</t>
        </is>
      </c>
      <c r="I201" s="5" t="inlineStr">
        <is>
          <t>toast "เปลี่ยนไซต์เป็น…"; ผังอาคาร/รายการเปลี่ยนตามไซต์</t>
        </is>
      </c>
      <c r="J201" s="10" t="inlineStr">
        <is>
          <t>Low</t>
        </is>
      </c>
      <c r="K201" s="5" t="inlineStr">
        <is>
          <t>ผู้จัดการทรัพย์สิน (asset.mgr)</t>
        </is>
      </c>
      <c r="L201" s="5" t="n"/>
      <c r="M201" s="10" t="inlineStr">
        <is>
          <t>ยังไม่ทดสอบ</t>
        </is>
      </c>
      <c r="N201" s="5" t="n"/>
      <c r="O201" s="18" t="n"/>
      <c r="P201" s="5" t="n"/>
      <c r="Q201" s="5" t="inlineStr">
        <is>
          <t>3de213f2</t>
        </is>
      </c>
    </row>
    <row r="202" ht="47.5" customHeight="1">
      <c r="A202" s="10" t="inlineStr">
        <is>
          <t>UAT-TRK-014</t>
        </is>
      </c>
      <c r="B202" s="5" t="inlineStr">
        <is>
          <t>ติดตามตำแหน่ง (QR · RFID · GPS)</t>
        </is>
      </c>
      <c r="C202" s="5" t="inlineStr">
        <is>
          <t>ติดตามตำแหน่ง</t>
        </is>
      </c>
      <c r="D202" s="5" t="inlineStr">
        <is>
          <t>ค้นหาไม่พบข้อมูล (ติดตามตำแหน่ง)</t>
        </is>
      </c>
      <c r="E202" s="10" t="inlineStr">
        <is>
          <t>Negative</t>
        </is>
      </c>
      <c r="F202" s="5" t="inlineStr">
        <is>
          <t>เข้าสู่ระบบแล้ว และอยู่ที่หน้าติดตามตำแหน่ง</t>
        </is>
      </c>
      <c r="G202" s="5" t="inlineStr">
        <is>
          <t>1. พิมพ์คำค้นที่ไม่มีอยู่จริงในช่อง "ค้นหา Ticket / ทรัพย์สิน / อุปกรณ์ / ผู้ใช้งาน"
2. สังเกตตาราง/รายการ</t>
        </is>
      </c>
      <c r="H202" s="5" t="inlineStr">
        <is>
          <t>คำค้น: ZZZ-NOTFOUND-999</t>
        </is>
      </c>
      <c r="I202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02" s="10" t="inlineStr">
        <is>
          <t>Low</t>
        </is>
      </c>
      <c r="K202" s="5" t="inlineStr">
        <is>
          <t>ผู้ดูแลระบบสูงสุด (admin)</t>
        </is>
      </c>
      <c r="L202" s="5" t="n"/>
      <c r="M202" s="10" t="inlineStr">
        <is>
          <t>ยังไม่ทดสอบ</t>
        </is>
      </c>
      <c r="N202" s="5" t="n"/>
      <c r="O202" s="18" t="n"/>
      <c r="P202" s="5" t="n"/>
      <c r="Q202" s="5" t="inlineStr">
        <is>
          <t>3de213f2</t>
        </is>
      </c>
    </row>
    <row r="203" ht="62" customHeight="1">
      <c r="A203" s="10" t="inlineStr">
        <is>
          <t>UAT-TRK-015</t>
        </is>
      </c>
      <c r="B203" s="5" t="inlineStr">
        <is>
          <t>ติดตามตำแหน่ง (QR · RFID · GPS)</t>
        </is>
      </c>
      <c r="C203" s="5" t="inlineStr">
        <is>
          <t>ติดตามตำแหน่ง</t>
        </is>
      </c>
      <c r="D203" s="5" t="inlineStr">
        <is>
          <t>ค้นหาด้วยคำค้นที่มีอยู่จริง (ติดตามตำแหน่ง)</t>
        </is>
      </c>
      <c r="E203" s="10" t="inlineStr">
        <is>
          <t>Functional</t>
        </is>
      </c>
      <c r="F203" s="5" t="inlineStr">
        <is>
          <t>เข้าสู่ระบบแล้ว และอยู่ที่หน้าติดตามตำแหน่ง</t>
        </is>
      </c>
      <c r="G203" s="5" t="inlineStr">
        <is>
          <t>1. พิมพ์คำค้นในช่อง "ค้นหา Ticket / ทรัพย์สิน / อุปกรณ์ / ผู้ใช้งาน"
2. ตรวจรายการที่แสดง
3. ล้างคำค้น</t>
        </is>
      </c>
      <c r="H203" s="5" t="inlineStr">
        <is>
          <t>คำค้น: VH-001</t>
        </is>
      </c>
      <c r="I203" s="5" t="inlineStr">
        <is>
          <t>แสดงเฉพาะรายการที่ตรงกับคำค้น (VH-001 รถกระบะ Isuzu D-Max); เมื่อล้างคำค้นรายการกลับมาครบ</t>
        </is>
      </c>
      <c r="J203" s="10" t="inlineStr">
        <is>
          <t>Medium</t>
        </is>
      </c>
      <c r="K203" s="5" t="inlineStr">
        <is>
          <t>ผู้ดูแลระบบสูงสุด (admin)</t>
        </is>
      </c>
      <c r="L203" s="5" t="n"/>
      <c r="M203" s="10" t="inlineStr">
        <is>
          <t>ยังไม่ทดสอบ</t>
        </is>
      </c>
      <c r="N203" s="5" t="n"/>
      <c r="O203" s="18" t="n"/>
      <c r="P203" s="5" t="n"/>
      <c r="Q203" s="5" t="inlineStr">
        <is>
          <t>3de213f2</t>
        </is>
      </c>
    </row>
    <row r="204" ht="62" customHeight="1">
      <c r="A204" s="10" t="inlineStr">
        <is>
          <t>UAT-TRK-016</t>
        </is>
      </c>
      <c r="B204" s="5" t="inlineStr">
        <is>
          <t>ติดตามตำแหน่ง (QR · RFID · GPS)</t>
        </is>
      </c>
      <c r="C204" s="5" t="inlineStr">
        <is>
          <t>ติดตามตำแหน่ง</t>
        </is>
      </c>
      <c r="D204" s="5" t="inlineStr">
        <is>
          <t>แสดงผลบนมือถือ 375px (ติดตามตำแหน่ง)</t>
        </is>
      </c>
      <c r="E204" s="10" t="inlineStr">
        <is>
          <t>Responsive</t>
        </is>
      </c>
      <c r="F204" s="5" t="inlineStr">
        <is>
          <t>เข้าสู่ระบบแล้ว; เปิด DevTools โหมดอุปกรณ์ iPhone SE/375×667</t>
        </is>
      </c>
      <c r="G204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04" s="5" t="inlineStr">
        <is>
          <t>ความกว้าง 375px</t>
        </is>
      </c>
      <c r="I204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เต็มจอและปิดได้; ผู้จัดการทรัพย์สิน (asset.mgr)</t>
        </is>
      </c>
      <c r="J204" s="10" t="inlineStr">
        <is>
          <t>Medium</t>
        </is>
      </c>
      <c r="K204" s="5" t="inlineStr">
        <is>
          <t>ผู้ดูแลระบบสูงสุด (admin)</t>
        </is>
      </c>
      <c r="L204" s="5" t="n"/>
      <c r="M204" s="10" t="inlineStr">
        <is>
          <t>ยังไม่ทดสอบ</t>
        </is>
      </c>
      <c r="N204" s="5" t="n"/>
      <c r="O204" s="18" t="n"/>
      <c r="P204" s="5" t="n"/>
      <c r="Q204" s="5" t="inlineStr">
        <is>
          <t>3de213f2</t>
        </is>
      </c>
    </row>
    <row r="205" ht="62" customHeight="1">
      <c r="A205" s="10" t="inlineStr">
        <is>
          <t>UAT-TRK-017</t>
        </is>
      </c>
      <c r="B205" s="5" t="inlineStr">
        <is>
          <t>ติดตามตำแหน่ง (QR · RFID · GPS)</t>
        </is>
      </c>
      <c r="C205" s="5" t="inlineStr">
        <is>
          <t>ติดตามตำแหน่ง</t>
        </is>
      </c>
      <c r="D205" s="5" t="inlineStr">
        <is>
          <t>แสดงผลบน Desktop 1920px และความอ่านง่ายธีมมืด (ติดตามตำแหน่ง)</t>
        </is>
      </c>
      <c r="E205" s="10" t="inlineStr">
        <is>
          <t>UI</t>
        </is>
      </c>
      <c r="F205" s="5" t="inlineStr">
        <is>
          <t>เข้าสู่ระบบแล้ว; หน้าจอ 1920×1080</t>
        </is>
      </c>
      <c r="G205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05" s="5" t="inlineStr">
        <is>
          <t>ความกว้าง 1920px</t>
        </is>
      </c>
      <c r="I205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05" s="10" t="inlineStr">
        <is>
          <t>Low</t>
        </is>
      </c>
      <c r="K205" s="5" t="inlineStr">
        <is>
          <t>ผู้ดูแลระบบสูงสุด (admin)</t>
        </is>
      </c>
      <c r="L205" s="5" t="n"/>
      <c r="M205" s="10" t="inlineStr">
        <is>
          <t>ยังไม่ทดสอบ</t>
        </is>
      </c>
      <c r="N205" s="5" t="n"/>
      <c r="O205" s="18" t="n"/>
      <c r="P205" s="5" t="n"/>
      <c r="Q205" s="5" t="inlineStr">
        <is>
          <t>3de213f2</t>
        </is>
      </c>
    </row>
    <row r="206" ht="47.5" customHeight="1">
      <c r="A206" s="10" t="inlineStr">
        <is>
          <t>UAT-STK-001</t>
        </is>
      </c>
      <c r="B206" s="5" t="inlineStr">
        <is>
          <t>ตรวจนับทรัพย์สิน (Stocktake)</t>
        </is>
      </c>
      <c r="C206" s="5" t="inlineStr">
        <is>
          <t>ตรวจนับทรัพย์สิน</t>
        </is>
      </c>
      <c r="D206" s="5" t="inlineStr">
        <is>
          <t>แสดงการ์ดรอบตรวจนับ</t>
        </is>
      </c>
      <c r="E206" s="10" t="inlineStr">
        <is>
          <t>UI</t>
        </is>
      </c>
      <c r="F206" s="5" t="inlineStr">
        <is>
          <t>เข้าสู่ระบบแล้ว</t>
        </is>
      </c>
      <c r="G206" s="5" t="inlineStr">
        <is>
          <t>1. เปิดหน้า ตรวจนับทรัพย์สิน</t>
        </is>
      </c>
      <c r="H206" s="5" t="inlineStr">
        <is>
          <t>-</t>
        </is>
      </c>
      <c r="I206" s="5" t="inlineStr">
        <is>
          <t>การ์ด ST-2569-0002 และ ST-2569-0001 แสดง สถานะ, ชื่อรอบ, ไซต์, ช่วงวันที่ พ.ศ., นับแล้ว x/y (%), ผิดที่/ไม่พบ, คณะกรรมการ</t>
        </is>
      </c>
      <c r="J206" s="10" t="inlineStr">
        <is>
          <t>Medium</t>
        </is>
      </c>
      <c r="K206" s="5" t="inlineStr">
        <is>
          <t>ผู้จัดการทรัพย์สิน (asset.mgr)</t>
        </is>
      </c>
      <c r="L206" s="5" t="n"/>
      <c r="M206" s="10" t="inlineStr">
        <is>
          <t>ยังไม่ทดสอบ</t>
        </is>
      </c>
      <c r="N206" s="5" t="n"/>
      <c r="O206" s="18" t="n"/>
      <c r="P206" s="5" t="n"/>
      <c r="Q206" s="5" t="inlineStr">
        <is>
          <t>41ca3fb4</t>
        </is>
      </c>
    </row>
    <row r="207" ht="18.5" customHeight="1">
      <c r="A207" s="10" t="inlineStr">
        <is>
          <t>UAT-STK-002</t>
        </is>
      </c>
      <c r="B207" s="5" t="inlineStr">
        <is>
          <t>ตรวจนับทรัพย์สิน (Stocktake)</t>
        </is>
      </c>
      <c r="C207" s="5" t="inlineStr">
        <is>
          <t>ตรวจนับทรัพย์สิน</t>
        </is>
      </c>
      <c r="D207" s="5" t="inlineStr">
        <is>
          <t>กรองตามสถานะด้วยแท็บ</t>
        </is>
      </c>
      <c r="E207" s="10" t="inlineStr">
        <is>
          <t>Functional</t>
        </is>
      </c>
      <c r="F207" s="5" t="inlineStr">
        <is>
          <t>เข้าสู่ระบบแล้ว</t>
        </is>
      </c>
      <c r="G207" s="5" t="inlineStr">
        <is>
          <t>1. คลิก ร่าง / กำลังตรวจนับ / รอกระทบยอด / ปิดรอบแล้ว</t>
        </is>
      </c>
      <c r="H207" s="5" t="inlineStr">
        <is>
          <t>-</t>
        </is>
      </c>
      <c r="I207" s="5" t="inlineStr">
        <is>
          <t>แสดงเฉพาะรอบตามสถานะ; ไม่มีรอบแสดง "ไม่มีรอบในสถานะนี้"</t>
        </is>
      </c>
      <c r="J207" s="10" t="inlineStr">
        <is>
          <t>Low</t>
        </is>
      </c>
      <c r="K207" s="5" t="inlineStr">
        <is>
          <t>ผู้จัดการทรัพย์สิน (asset.mgr)</t>
        </is>
      </c>
      <c r="L207" s="5" t="n"/>
      <c r="M207" s="10" t="inlineStr">
        <is>
          <t>ยังไม่ทดสอบ</t>
        </is>
      </c>
      <c r="N207" s="5" t="n"/>
      <c r="O207" s="18" t="n"/>
      <c r="P207" s="5" t="n"/>
      <c r="Q207" s="5" t="inlineStr">
        <is>
          <t>41ca3fb4</t>
        </is>
      </c>
    </row>
    <row r="208" ht="62" customHeight="1">
      <c r="A208" s="10" t="inlineStr">
        <is>
          <t>UAT-STK-003</t>
        </is>
      </c>
      <c r="B208" s="5" t="inlineStr">
        <is>
          <t>ตรวจนับทรัพย์สิน (Stocktake)</t>
        </is>
      </c>
      <c r="C208" s="5" t="inlineStr">
        <is>
          <t>ตรวจนับทรัพย์สิน</t>
        </is>
      </c>
      <c r="D208" s="5" t="inlineStr">
        <is>
          <t>สร้างรอบตรวจนับ (Happy path)</t>
        </is>
      </c>
      <c r="E208" s="10" t="inlineStr">
        <is>
          <t>Functional</t>
        </is>
      </c>
      <c r="F208" s="5" t="inlineStr">
        <is>
          <t>มีสิทธิ์ จัดการรอบตรวจนับ</t>
        </is>
      </c>
      <c r="G208" s="5" t="inlineStr">
        <is>
          <t>1. คลิก "+ สร้างรอบตรวจนับ"
2. กรอกชื่อรอบ เลือกไซต์ อาคาร/พื้นที่ หมวด วันเริ่ม วันสิ้นสุด
3. เลือกคณะกรรมการหลายคน
4. กด "สร้างรอบ"</t>
        </is>
      </c>
      <c r="H208" s="5" t="inlineStr">
        <is>
          <t>ตรวจนับกลางปี 2570 — อาคารผลิต 1; โรงงานสมุทรสาคร; 01/11/2569–15/11/2569; กรรมการ: กมลวรรณ, นภา, ศรีพร</t>
        </is>
      </c>
      <c r="I208" s="5" t="inlineStr">
        <is>
          <t>toast "สร้างรอบ ST-2569-0003 แล้ว"; ระบบดึงทรัพย์สินที่ใช้งาน (ไม่รวม จำหน่ายแล้ว/สูญหาย/ถูกขโมย/วางแผน) ตามเงื่อนไข; คณะกรรมการได้รับแจ้งเตือน</t>
        </is>
      </c>
      <c r="J208" s="10" t="inlineStr">
        <is>
          <t>High</t>
        </is>
      </c>
      <c r="K208" s="5" t="inlineStr">
        <is>
          <t>ผู้จัดการทรัพย์สิน (asset.mgr)</t>
        </is>
      </c>
      <c r="L208" s="5" t="n"/>
      <c r="M208" s="10" t="inlineStr">
        <is>
          <t>ยังไม่ทดสอบ</t>
        </is>
      </c>
      <c r="N208" s="5" t="n"/>
      <c r="O208" s="18" t="n"/>
      <c r="P208" s="5" t="n"/>
      <c r="Q208" s="5" t="inlineStr">
        <is>
          <t>41ca3fb4</t>
        </is>
      </c>
    </row>
    <row r="209" ht="33" customHeight="1">
      <c r="A209" s="10" t="inlineStr">
        <is>
          <t>UAT-STK-004</t>
        </is>
      </c>
      <c r="B209" s="5" t="inlineStr">
        <is>
          <t>ตรวจนับทรัพย์สิน (Stocktake)</t>
        </is>
      </c>
      <c r="C209" s="5" t="inlineStr">
        <is>
          <t>ตรวจนับทรัพย์สิน</t>
        </is>
      </c>
      <c r="D209" s="5" t="inlineStr">
        <is>
          <t>สร้างรอบโดยไม่กรอกฟิลด์บังคับ</t>
        </is>
      </c>
      <c r="E209" s="10" t="inlineStr">
        <is>
          <t>Validation</t>
        </is>
      </c>
      <c r="F209" s="5" t="inlineStr">
        <is>
          <t>เปิดฟอร์มสร้างรอบ</t>
        </is>
      </c>
      <c r="G209" s="5" t="inlineStr">
        <is>
          <t>1. เว้นว่าง ชื่อรอบ *, ไซต์ *, วันเริ่ม *, วันสิ้นสุด *
2. กดสร้างรอบ</t>
        </is>
      </c>
      <c r="H209" s="5" t="inlineStr">
        <is>
          <t>-</t>
        </is>
      </c>
      <c r="I209" s="5" t="inlineStr">
        <is>
          <t>ไม่บันทึก แจ้งฟิลด์บังคับที่ขาด</t>
        </is>
      </c>
      <c r="J209" s="10" t="inlineStr">
        <is>
          <t>High</t>
        </is>
      </c>
      <c r="K209" s="5" t="inlineStr">
        <is>
          <t>ผู้จัดการทรัพย์สิน (asset.mgr)</t>
        </is>
      </c>
      <c r="L209" s="5" t="n"/>
      <c r="M209" s="10" t="inlineStr">
        <is>
          <t>ยังไม่ทดสอบ</t>
        </is>
      </c>
      <c r="N209" s="5" t="n"/>
      <c r="O209" s="18" t="n"/>
      <c r="P209" s="5" t="n"/>
      <c r="Q209" s="5" t="inlineStr">
        <is>
          <t>41ca3fb4</t>
        </is>
      </c>
    </row>
    <row r="210" ht="33" customHeight="1">
      <c r="A210" s="10" t="inlineStr">
        <is>
          <t>UAT-STK-005</t>
        </is>
      </c>
      <c r="B210" s="5" t="inlineStr">
        <is>
          <t>ตรวจนับทรัพย์สิน (Stocktake)</t>
        </is>
      </c>
      <c r="C210" s="5" t="inlineStr">
        <is>
          <t>ตรวจนับทรัพย์สิน</t>
        </is>
      </c>
      <c r="D210" s="5" t="inlineStr">
        <is>
          <t>วันสิ้นสุดก่อนวันเริ่ม</t>
        </is>
      </c>
      <c r="E210" s="10" t="inlineStr">
        <is>
          <t>Validation</t>
        </is>
      </c>
      <c r="F210" s="5" t="inlineStr">
        <is>
          <t>เปิดฟอร์มสร้างรอบ</t>
        </is>
      </c>
      <c r="G210" s="5" t="inlineStr">
        <is>
          <t>1. กรอกวันสิ้นสุดก่อนวันเริ่ม
2. สร้างรอบ</t>
        </is>
      </c>
      <c r="H210" s="5" t="inlineStr">
        <is>
          <t>เริ่ม 15/11/2569; สิ้นสุด 01/11/2569</t>
        </is>
      </c>
      <c r="I210" s="5" t="inlineStr">
        <is>
          <t>แสดง "วันสิ้นสุดต้องไม่ก่อนวันเริ่ม" ไม่บันทึก</t>
        </is>
      </c>
      <c r="J210" s="10" t="inlineStr">
        <is>
          <t>High</t>
        </is>
      </c>
      <c r="K210" s="5" t="inlineStr">
        <is>
          <t>ผู้จัดการทรัพย์สิน (asset.mgr)</t>
        </is>
      </c>
      <c r="L210" s="5" t="n"/>
      <c r="M210" s="10" t="inlineStr">
        <is>
          <t>ยังไม่ทดสอบ</t>
        </is>
      </c>
      <c r="N210" s="5" t="n"/>
      <c r="O210" s="18" t="n"/>
      <c r="P210" s="5" t="n"/>
      <c r="Q210" s="5" t="inlineStr">
        <is>
          <t>41ca3fb4</t>
        </is>
      </c>
    </row>
    <row r="211" ht="76.5" customHeight="1">
      <c r="A211" s="10" t="inlineStr">
        <is>
          <t>UAT-STK-006</t>
        </is>
      </c>
      <c r="B211" s="5" t="inlineStr">
        <is>
          <t>ตรวจนับทรัพย์สิน (Stocktake)</t>
        </is>
      </c>
      <c r="C211" s="5" t="inlineStr">
        <is>
          <t>ตรวจนับทรัพย์สิน</t>
        </is>
      </c>
      <c r="D211" s="5" t="inlineStr">
        <is>
          <t>เพิ่มฟิลด์เพิ่มเติม (Custom Field) ในฟอร์มสร้างรอบตรวจนับ</t>
        </is>
      </c>
      <c r="E211" s="10" t="inlineStr">
        <is>
          <t>Functional</t>
        </is>
      </c>
      <c r="F211" s="5" t="inlineStr">
        <is>
          <t>เข้าสู่ระบบแล้ว; เปิดฟอร์มสร้างรอบตรวจนับ</t>
        </is>
      </c>
      <c r="G211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211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211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211" s="10" t="inlineStr">
        <is>
          <t>Medium</t>
        </is>
      </c>
      <c r="K211" s="5" t="inlineStr">
        <is>
          <t>ผู้จัดการทรัพย์สิน (asset.mgr)</t>
        </is>
      </c>
      <c r="L211" s="5" t="n"/>
      <c r="M211" s="10" t="inlineStr">
        <is>
          <t>ยังไม่ทดสอบ</t>
        </is>
      </c>
      <c r="N211" s="5" t="n"/>
      <c r="O211" s="18" t="n"/>
      <c r="P211" s="5" t="n"/>
      <c r="Q211" s="5" t="inlineStr">
        <is>
          <t>41ca3fb4</t>
        </is>
      </c>
    </row>
    <row r="212" ht="33" customHeight="1">
      <c r="A212" s="10" t="inlineStr">
        <is>
          <t>UAT-STK-007</t>
        </is>
      </c>
      <c r="B212" s="5" t="inlineStr">
        <is>
          <t>ตรวจนับทรัพย์สิน (Stocktake)</t>
        </is>
      </c>
      <c r="C212" s="5" t="inlineStr">
        <is>
          <t>ตรวจนับทรัพย์สิน</t>
        </is>
      </c>
      <c r="D212" s="5" t="inlineStr">
        <is>
          <t>เปิดหน้าสแกน (มือถือ) และสแกน QR/RFID</t>
        </is>
      </c>
      <c r="E212" s="10" t="inlineStr">
        <is>
          <t>Functional</t>
        </is>
      </c>
      <c r="F212" s="5" t="inlineStr">
        <is>
          <t>รอบสถานะ กำลังตรวจนับ; ผู้ใช้เป็นกรรมการ</t>
        </is>
      </c>
      <c r="G212" s="5" t="inlineStr">
        <is>
          <t>1. คลิก "เปิดหน้าสแกน"
2. กด "สแกน QR/RFID" ทีละรายการ</t>
        </is>
      </c>
      <c r="H212" s="5" t="inlineStr">
        <is>
          <t>-</t>
        </is>
      </c>
      <c r="I212" s="5" t="inlineStr">
        <is>
          <t>ตัวนับ นับแล้ว/ทั้งหมด และ progress bar เพิ่มขึ้น; ผลแต่ละรายการ (พบถูกที่/ผิดที่/ใหม่)</t>
        </is>
      </c>
      <c r="J212" s="10" t="inlineStr">
        <is>
          <t>High</t>
        </is>
      </c>
      <c r="K212" s="5" t="inlineStr">
        <is>
          <t>ช่างซ่อมบำรุง (somchai)</t>
        </is>
      </c>
      <c r="L212" s="5" t="n"/>
      <c r="M212" s="10" t="inlineStr">
        <is>
          <t>ยังไม่ทดสอบ</t>
        </is>
      </c>
      <c r="N212" s="5" t="n"/>
      <c r="O212" s="18" t="n"/>
      <c r="P212" s="5" t="n"/>
      <c r="Q212" s="5" t="inlineStr">
        <is>
          <t>41ca3fb4</t>
        </is>
      </c>
    </row>
    <row r="213" ht="47.5" customHeight="1">
      <c r="A213" s="10" t="inlineStr">
        <is>
          <t>UAT-STK-008</t>
        </is>
      </c>
      <c r="B213" s="5" t="inlineStr">
        <is>
          <t>ตรวจนับทรัพย์สิน (Stocktake)</t>
        </is>
      </c>
      <c r="C213" s="5" t="inlineStr">
        <is>
          <t>ตรวจนับทรัพย์สิน</t>
        </is>
      </c>
      <c r="D213" s="5" t="inlineStr">
        <is>
          <t>สแกนแบบออฟไลน์และซิงก์</t>
        </is>
      </c>
      <c r="E213" s="10" t="inlineStr">
        <is>
          <t>Functional</t>
        </is>
      </c>
      <c r="F213" s="5" t="inlineStr">
        <is>
          <t>เปิดหน้าสแกนบนมือถือ</t>
        </is>
      </c>
      <c r="G213" s="5" t="inlineStr">
        <is>
          <t>1. ปิดอินเทอร์เน็ต
2. สแกน 3 รายการ
3. เปิดอินเทอร์เน็ต</t>
        </is>
      </c>
      <c r="H213" s="5" t="inlineStr">
        <is>
          <t>-</t>
        </is>
      </c>
      <c r="I213" s="5" t="inlineStr">
        <is>
          <t>แสดง "ออฟไลน์ · รอซิงก์ 3" และ "บันทึกในเครื่องแล้ว · เวลา"; เมื่อออนไลน์ซิงก์อัตโนมัติไม่ซ้ำ</t>
        </is>
      </c>
      <c r="J213" s="10" t="inlineStr">
        <is>
          <t>High</t>
        </is>
      </c>
      <c r="K213" s="5" t="inlineStr">
        <is>
          <t>ช่างซ่อมบำรุง (somchai)</t>
        </is>
      </c>
      <c r="L213" s="5" t="n"/>
      <c r="M213" s="10" t="inlineStr">
        <is>
          <t>ยังไม่ทดสอบ</t>
        </is>
      </c>
      <c r="N213" s="5" t="n"/>
      <c r="O213" s="18" t="n"/>
      <c r="P213" s="5" t="n"/>
      <c r="Q213" s="5" t="inlineStr">
        <is>
          <t>41ca3fb4</t>
        </is>
      </c>
    </row>
    <row r="214" ht="18.5" customHeight="1">
      <c r="A214" s="10" t="inlineStr">
        <is>
          <t>UAT-STK-009</t>
        </is>
      </c>
      <c r="B214" s="5" t="inlineStr">
        <is>
          <t>ตรวจนับทรัพย์สิน (Stocktake)</t>
        </is>
      </c>
      <c r="C214" s="5" t="inlineStr">
        <is>
          <t>ตรวจนับทรัพย์สิน</t>
        </is>
      </c>
      <c r="D214" s="5" t="inlineStr">
        <is>
          <t>นับครบทุกรายการ</t>
        </is>
      </c>
      <c r="E214" s="10" t="inlineStr">
        <is>
          <t>Functional</t>
        </is>
      </c>
      <c r="F214" s="5" t="inlineStr">
        <is>
          <t>สแกนครบทุกรายการ</t>
        </is>
      </c>
      <c r="G214" s="5" t="inlineStr">
        <is>
          <t>1. สแกนรายการสุดท้าย</t>
        </is>
      </c>
      <c r="H214" s="5" t="inlineStr">
        <is>
          <t>-</t>
        </is>
      </c>
      <c r="I214" s="5" t="inlineStr">
        <is>
          <t>แสดง "นับครบทุกรายการแล้ว · ส่งกระทบยอดได้เลย"</t>
        </is>
      </c>
      <c r="J214" s="10" t="inlineStr">
        <is>
          <t>Medium</t>
        </is>
      </c>
      <c r="K214" s="5" t="inlineStr">
        <is>
          <t>ช่างซ่อมบำรุง (somchai)</t>
        </is>
      </c>
      <c r="L214" s="5" t="n"/>
      <c r="M214" s="10" t="inlineStr">
        <is>
          <t>ยังไม่ทดสอบ</t>
        </is>
      </c>
      <c r="N214" s="5" t="n"/>
      <c r="O214" s="18" t="n"/>
      <c r="P214" s="5" t="n"/>
      <c r="Q214" s="5" t="inlineStr">
        <is>
          <t>41ca3fb4</t>
        </is>
      </c>
    </row>
    <row r="215" ht="33" customHeight="1">
      <c r="A215" s="10" t="inlineStr">
        <is>
          <t>UAT-STK-010</t>
        </is>
      </c>
      <c r="B215" s="5" t="inlineStr">
        <is>
          <t>ตรวจนับทรัพย์สิน (Stocktake)</t>
        </is>
      </c>
      <c r="C215" s="5" t="inlineStr">
        <is>
          <t>ตรวจนับทรัพย์สิน</t>
        </is>
      </c>
      <c r="D215" s="5" t="inlineStr">
        <is>
          <t>กระทบยอด: ตรวจผลต่าง</t>
        </is>
      </c>
      <c r="E215" s="10" t="inlineStr">
        <is>
          <t>Functional</t>
        </is>
      </c>
      <c r="F215" s="5" t="inlineStr">
        <is>
          <t>รอบสถานะ รอกระทบยอด</t>
        </is>
      </c>
      <c r="G215" s="5" t="inlineStr">
        <is>
          <t>1. เปิดหน้ากระทบยอด</t>
        </is>
      </c>
      <c r="H215" s="5" t="inlineStr">
        <is>
          <t>-</t>
        </is>
      </c>
      <c r="I215" s="5" t="inlineStr">
        <is>
          <t>ตาราง Asset Tag, ชื่อ, ตามทะเบียน, ที่พบ, ผล (พบ/ผิดที่/ไม่พบ/เกินทะเบียน), การดำเนินการ</t>
        </is>
      </c>
      <c r="J215" s="10" t="inlineStr">
        <is>
          <t>High</t>
        </is>
      </c>
      <c r="K215" s="5" t="inlineStr">
        <is>
          <t>ผู้จัดการทรัพย์สิน (asset.mgr)</t>
        </is>
      </c>
      <c r="L215" s="5" t="n"/>
      <c r="M215" s="10" t="inlineStr">
        <is>
          <t>ยังไม่ทดสอบ</t>
        </is>
      </c>
      <c r="N215" s="5" t="n"/>
      <c r="O215" s="18" t="n"/>
      <c r="P215" s="5" t="n"/>
      <c r="Q215" s="5" t="inlineStr">
        <is>
          <t>41ca3fb4</t>
        </is>
      </c>
    </row>
    <row r="216" ht="47.5" customHeight="1">
      <c r="A216" s="10" t="inlineStr">
        <is>
          <t>UAT-STK-011</t>
        </is>
      </c>
      <c r="B216" s="5" t="inlineStr">
        <is>
          <t>ตรวจนับทรัพย์สิน (Stocktake)</t>
        </is>
      </c>
      <c r="C216" s="5" t="inlineStr">
        <is>
          <t>ตรวจนับทรัพย์สิน</t>
        </is>
      </c>
      <c r="D216" s="5" t="inlineStr">
        <is>
          <t>กระทบยอด: ปรับที่ตั้ง / แจ้งสูญหาย / ขึ้นทะเบียนใหม่</t>
        </is>
      </c>
      <c r="E216" s="10" t="inlineStr">
        <is>
          <t>Functional</t>
        </is>
      </c>
      <c r="F216" s="5" t="inlineStr">
        <is>
          <t>อยู่หน้ากระทบยอด</t>
        </is>
      </c>
      <c r="G216" s="5" t="inlineStr">
        <is>
          <t>1. รายการผิดที่ → "ปรับที่ตั้ง"
2. รายการไม่พบ → "แจ้งสูญหาย"
3. รายการเกินทะเบียน → "ขึ้นทะเบียนใหม่"</t>
        </is>
      </c>
      <c r="H216" s="5" t="inlineStr">
        <is>
          <t>-</t>
        </is>
      </c>
      <c r="I216" s="5" t="inlineStr">
        <is>
          <t>แต่ละรายการเปลี่ยนเป็น "ดำเนินการแล้ว"; ทะเบียนทรัพย์สินถูกปรับ (ที่ตั้งใหม่/สถานะสูญหาย/ทรัพย์สินใหม่)</t>
        </is>
      </c>
      <c r="J216" s="10" t="inlineStr">
        <is>
          <t>High</t>
        </is>
      </c>
      <c r="K216" s="5" t="inlineStr">
        <is>
          <t>ผู้จัดการทรัพย์สิน (asset.mgr)</t>
        </is>
      </c>
      <c r="L216" s="5" t="n"/>
      <c r="M216" s="10" t="inlineStr">
        <is>
          <t>ยังไม่ทดสอบ</t>
        </is>
      </c>
      <c r="N216" s="5" t="n"/>
      <c r="O216" s="18" t="n"/>
      <c r="P216" s="5" t="n"/>
      <c r="Q216" s="5" t="inlineStr">
        <is>
          <t>41ca3fb4</t>
        </is>
      </c>
    </row>
    <row r="217" ht="33" customHeight="1">
      <c r="A217" s="10" t="inlineStr">
        <is>
          <t>UAT-STK-012</t>
        </is>
      </c>
      <c r="B217" s="5" t="inlineStr">
        <is>
          <t>ตรวจนับทรัพย์สิน (Stocktake)</t>
        </is>
      </c>
      <c r="C217" s="5" t="inlineStr">
        <is>
          <t>ตรวจนับทรัพย์สิน</t>
        </is>
      </c>
      <c r="D217" s="5" t="inlineStr">
        <is>
          <t>ปิดรอบตรวจนับ</t>
        </is>
      </c>
      <c r="E217" s="10" t="inlineStr">
        <is>
          <t>Functional</t>
        </is>
      </c>
      <c r="F217" s="5" t="inlineStr">
        <is>
          <t>ดำเนินการกระทบยอดครบ</t>
        </is>
      </c>
      <c r="G217" s="5" t="inlineStr">
        <is>
          <t>1. กด "ปิดรอบ"</t>
        </is>
      </c>
      <c r="H217" s="5" t="inlineStr">
        <is>
          <t>-</t>
        </is>
      </c>
      <c r="I217" s="5" t="inlineStr">
        <is>
          <t>toast "ปิดรอบ … และปรับทะเบียนแล้ว"; สถานะ ปิดรอบแล้ว; รายงานผลการตรวจนับอัปเดต</t>
        </is>
      </c>
      <c r="J217" s="10" t="inlineStr">
        <is>
          <t>High</t>
        </is>
      </c>
      <c r="K217" s="5" t="inlineStr">
        <is>
          <t>ผู้จัดการทรัพย์สิน (asset.mgr)</t>
        </is>
      </c>
      <c r="L217" s="5" t="n"/>
      <c r="M217" s="10" t="inlineStr">
        <is>
          <t>ยังไม่ทดสอบ</t>
        </is>
      </c>
      <c r="N217" s="5" t="n"/>
      <c r="O217" s="18" t="n"/>
      <c r="P217" s="5" t="n"/>
      <c r="Q217" s="5" t="inlineStr">
        <is>
          <t>41ca3fb4</t>
        </is>
      </c>
    </row>
    <row r="218" ht="18.5" customHeight="1">
      <c r="A218" s="10" t="inlineStr">
        <is>
          <t>UAT-STK-013</t>
        </is>
      </c>
      <c r="B218" s="5" t="inlineStr">
        <is>
          <t>ตรวจนับทรัพย์สิน (Stocktake)</t>
        </is>
      </c>
      <c r="C218" s="5" t="inlineStr">
        <is>
          <t>ตรวจนับทรัพย์สิน</t>
        </is>
      </c>
      <c r="D218" s="5" t="inlineStr">
        <is>
          <t>ปิดรอบขณะยังมีรายการไม่ดำเนินการ</t>
        </is>
      </c>
      <c r="E218" s="10" t="inlineStr">
        <is>
          <t>Negative</t>
        </is>
      </c>
      <c r="F218" s="5" t="inlineStr">
        <is>
          <t>ยังมีรายการผิดที่ที่ยังไม่ดำเนินการ</t>
        </is>
      </c>
      <c r="G218" s="5" t="inlineStr">
        <is>
          <t>1. กด "ปิดรอบ"</t>
        </is>
      </c>
      <c r="H218" s="5" t="inlineStr">
        <is>
          <t>-</t>
        </is>
      </c>
      <c r="I218" s="5" t="inlineStr">
        <is>
          <t>ระบบเตือน/ไม่อนุญาตปิดจนกว่าจะดำเนินการครบ</t>
        </is>
      </c>
      <c r="J218" s="10" t="inlineStr">
        <is>
          <t>Medium</t>
        </is>
      </c>
      <c r="K218" s="5" t="inlineStr">
        <is>
          <t>ผู้จัดการทรัพย์สิน (asset.mgr)</t>
        </is>
      </c>
      <c r="L218" s="5" t="n"/>
      <c r="M218" s="10" t="inlineStr">
        <is>
          <t>ยังไม่ทดสอบ</t>
        </is>
      </c>
      <c r="N218" s="5" t="n"/>
      <c r="O218" s="18" t="n"/>
      <c r="P218" s="5" t="n"/>
      <c r="Q218" s="5" t="inlineStr">
        <is>
          <t>41ca3fb4</t>
        </is>
      </c>
    </row>
    <row r="219" ht="47.5" customHeight="1">
      <c r="A219" s="10" t="inlineStr">
        <is>
          <t>UAT-STK-014</t>
        </is>
      </c>
      <c r="B219" s="5" t="inlineStr">
        <is>
          <t>ตรวจนับทรัพย์สิน (Stocktake)</t>
        </is>
      </c>
      <c r="C219" s="5" t="inlineStr">
        <is>
          <t>ตรวจนับทรัพย์สิน</t>
        </is>
      </c>
      <c r="D219" s="5" t="inlineStr">
        <is>
          <t>บันทึกร่างการกระทบยอด</t>
        </is>
      </c>
      <c r="E219" s="10" t="inlineStr">
        <is>
          <t>Functional</t>
        </is>
      </c>
      <c r="F219" s="5" t="inlineStr">
        <is>
          <t>อยู่หน้ากระทบยอด</t>
        </is>
      </c>
      <c r="G219" s="5" t="inlineStr">
        <is>
          <t>1. ดำเนินการบางรายการ
2. กด "บันทึกร่าง"
3. ปิดแล้วเปิดใหม่</t>
        </is>
      </c>
      <c r="H219" s="5" t="inlineStr">
        <is>
          <t>-</t>
        </is>
      </c>
      <c r="I219" s="5" t="inlineStr">
        <is>
          <t>การดำเนินการที่ทำไว้ยังคงอยู่</t>
        </is>
      </c>
      <c r="J219" s="10" t="inlineStr">
        <is>
          <t>Low</t>
        </is>
      </c>
      <c r="K219" s="5" t="inlineStr">
        <is>
          <t>ผู้จัดการทรัพย์สิน (asset.mgr)</t>
        </is>
      </c>
      <c r="L219" s="5" t="n"/>
      <c r="M219" s="10" t="inlineStr">
        <is>
          <t>ยังไม่ทดสอบ</t>
        </is>
      </c>
      <c r="N219" s="5" t="n"/>
      <c r="O219" s="18" t="n"/>
      <c r="P219" s="5" t="n"/>
      <c r="Q219" s="5" t="inlineStr">
        <is>
          <t>41ca3fb4</t>
        </is>
      </c>
    </row>
    <row r="220" ht="33" customHeight="1">
      <c r="A220" s="10" t="inlineStr">
        <is>
          <t>UAT-STK-015</t>
        </is>
      </c>
      <c r="B220" s="5" t="inlineStr">
        <is>
          <t>ตรวจนับทรัพย์สิน (Stocktake)</t>
        </is>
      </c>
      <c r="C220" s="5" t="inlineStr">
        <is>
          <t>ตรวจนับทรัพย์สิน</t>
        </is>
      </c>
      <c r="D220" s="5" t="inlineStr">
        <is>
          <t>ผู้ที่ไม่ใช่กรรมการสแกนไม่ได้</t>
        </is>
      </c>
      <c r="E220" s="10" t="inlineStr">
        <is>
          <t>Permission</t>
        </is>
      </c>
      <c r="F220" s="5" t="inlineStr">
        <is>
          <t>ล็อกอินเป็นผู้แจ้งซ่อม (ไม่มีสิทธิ์ สแกนตรวจนับ)</t>
        </is>
      </c>
      <c r="G220" s="5" t="inlineStr">
        <is>
          <t>1. เปิดรอบ</t>
        </is>
      </c>
      <c r="H220" s="5" t="inlineStr">
        <is>
          <t>-</t>
        </is>
      </c>
      <c r="I220" s="5" t="inlineStr">
        <is>
          <t>ไม่มีปุ่มเปิดหน้าสแกน/สร้างรอบ</t>
        </is>
      </c>
      <c r="J220" s="10" t="inlineStr">
        <is>
          <t>Medium</t>
        </is>
      </c>
      <c r="K220" s="5" t="inlineStr">
        <is>
          <t>ผู้แจ้งซ่อม/ผู้ใช้งานทั่วไป (user)</t>
        </is>
      </c>
      <c r="L220" s="5" t="n"/>
      <c r="M220" s="10" t="inlineStr">
        <is>
          <t>ยังไม่ทดสอบ</t>
        </is>
      </c>
      <c r="N220" s="5" t="n"/>
      <c r="O220" s="18" t="n"/>
      <c r="P220" s="5" t="n"/>
      <c r="Q220" s="5" t="inlineStr">
        <is>
          <t>41ca3fb4</t>
        </is>
      </c>
    </row>
    <row r="221" ht="33" customHeight="1">
      <c r="A221" s="10" t="inlineStr">
        <is>
          <t>UAT-STK-016</t>
        </is>
      </c>
      <c r="B221" s="5" t="inlineStr">
        <is>
          <t>ตรวจนับทรัพย์สิน (Stocktake)</t>
        </is>
      </c>
      <c r="C221" s="5" t="inlineStr">
        <is>
          <t>ตรวจนับทรัพย์สิน</t>
        </is>
      </c>
      <c r="D221" s="5" t="inlineStr">
        <is>
          <t>ค้นหาไม่พบข้อมูล (ตรวจนับทรัพย์สิน)</t>
        </is>
      </c>
      <c r="E221" s="10" t="inlineStr">
        <is>
          <t>Negative</t>
        </is>
      </c>
      <c r="F221" s="5" t="inlineStr">
        <is>
          <t>เข้าสู่ระบบแล้ว และอยู่ที่หน้าตรวจนับทรัพย์สิน</t>
        </is>
      </c>
      <c r="G221" s="5" t="inlineStr">
        <is>
          <t>1. พิมพ์คำค้นที่ไม่มีอยู่จริงในช่อง "ค้นหาทรัพย์สิน / รอบตรวจนับ…"
2. สังเกตตาราง/รายการ</t>
        </is>
      </c>
      <c r="H221" s="5" t="inlineStr">
        <is>
          <t>คำค้น: ZZZ-NOTFOUND-999</t>
        </is>
      </c>
      <c r="I22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21" s="10" t="inlineStr">
        <is>
          <t>Low</t>
        </is>
      </c>
      <c r="K221" s="5" t="inlineStr">
        <is>
          <t>ผู้ดูแลระบบสูงสุด (admin)</t>
        </is>
      </c>
      <c r="L221" s="5" t="n"/>
      <c r="M221" s="10" t="inlineStr">
        <is>
          <t>ยังไม่ทดสอบ</t>
        </is>
      </c>
      <c r="N221" s="5" t="n"/>
      <c r="O221" s="18" t="n"/>
      <c r="P221" s="5" t="n"/>
      <c r="Q221" s="5" t="inlineStr">
        <is>
          <t>41ca3fb4</t>
        </is>
      </c>
    </row>
    <row r="222" ht="47.5" customHeight="1">
      <c r="A222" s="10" t="inlineStr">
        <is>
          <t>UAT-STK-017</t>
        </is>
      </c>
      <c r="B222" s="5" t="inlineStr">
        <is>
          <t>ตรวจนับทรัพย์สิน (Stocktake)</t>
        </is>
      </c>
      <c r="C222" s="5" t="inlineStr">
        <is>
          <t>ตรวจนับทรัพย์สิน</t>
        </is>
      </c>
      <c r="D222" s="5" t="inlineStr">
        <is>
          <t>ค้นหาด้วยคำค้นที่มีอยู่จริง (ตรวจนับทรัพย์สิน)</t>
        </is>
      </c>
      <c r="E222" s="10" t="inlineStr">
        <is>
          <t>Functional</t>
        </is>
      </c>
      <c r="F222" s="5" t="inlineStr">
        <is>
          <t>เข้าสู่ระบบแล้ว และอยู่ที่หน้าตรวจนับทรัพย์สิน</t>
        </is>
      </c>
      <c r="G222" s="5" t="inlineStr">
        <is>
          <t>1. พิมพ์คำค้นในช่อง "ค้นหาทรัพย์สิน / รอบตรวจนับ…"
2. ตรวจรายการที่แสดง
3. ล้างคำค้น</t>
        </is>
      </c>
      <c r="H222" s="5" t="inlineStr">
        <is>
          <t>คำค้น: ST-2569-0001</t>
        </is>
      </c>
      <c r="I222" s="5" t="inlineStr">
        <is>
          <t>แสดงเฉพาะรายการที่ตรงกับคำค้น (รอบ ST-2569-0001); เมื่อล้างคำค้นรายการกลับมาครบ</t>
        </is>
      </c>
      <c r="J222" s="10" t="inlineStr">
        <is>
          <t>Medium</t>
        </is>
      </c>
      <c r="K222" s="5" t="inlineStr">
        <is>
          <t>ผู้ดูแลระบบสูงสุด (admin)</t>
        </is>
      </c>
      <c r="L222" s="5" t="n"/>
      <c r="M222" s="10" t="inlineStr">
        <is>
          <t>ยังไม่ทดสอบ</t>
        </is>
      </c>
      <c r="N222" s="5" t="n"/>
      <c r="O222" s="18" t="n"/>
      <c r="P222" s="5" t="n"/>
      <c r="Q222" s="5" t="inlineStr">
        <is>
          <t>41ca3fb4</t>
        </is>
      </c>
    </row>
    <row r="223" ht="62" customHeight="1">
      <c r="A223" s="10" t="inlineStr">
        <is>
          <t>UAT-STK-018</t>
        </is>
      </c>
      <c r="B223" s="5" t="inlineStr">
        <is>
          <t>ตรวจนับทรัพย์สิน (Stocktake)</t>
        </is>
      </c>
      <c r="C223" s="5" t="inlineStr">
        <is>
          <t>ตรวจนับทรัพย์สิน</t>
        </is>
      </c>
      <c r="D223" s="5" t="inlineStr">
        <is>
          <t>แสดงผลบนมือถือ 375px (ตรวจนับทรัพย์สิน)</t>
        </is>
      </c>
      <c r="E223" s="10" t="inlineStr">
        <is>
          <t>Responsive</t>
        </is>
      </c>
      <c r="F223" s="5" t="inlineStr">
        <is>
          <t>เข้าสู่ระบบแล้ว; เปิด DevTools โหมดอุปกรณ์ iPhone SE/375×667</t>
        </is>
      </c>
      <c r="G22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23" s="5" t="inlineStr">
        <is>
          <t>ความกว้าง 375px</t>
        </is>
      </c>
      <c r="I22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เต็มจอและปิดได้; ผู้จัดการทรัพย์สิน (asset.mgr)</t>
        </is>
      </c>
      <c r="J223" s="10" t="inlineStr">
        <is>
          <t>Medium</t>
        </is>
      </c>
      <c r="K223" s="5" t="inlineStr">
        <is>
          <t>ผู้ดูแลระบบสูงสุด (admin)</t>
        </is>
      </c>
      <c r="L223" s="5" t="n"/>
      <c r="M223" s="10" t="inlineStr">
        <is>
          <t>ยังไม่ทดสอบ</t>
        </is>
      </c>
      <c r="N223" s="5" t="n"/>
      <c r="O223" s="18" t="n"/>
      <c r="P223" s="5" t="n"/>
      <c r="Q223" s="5" t="inlineStr">
        <is>
          <t>41ca3fb4</t>
        </is>
      </c>
    </row>
    <row r="224" ht="62" customHeight="1">
      <c r="A224" s="10" t="inlineStr">
        <is>
          <t>UAT-STK-019</t>
        </is>
      </c>
      <c r="B224" s="5" t="inlineStr">
        <is>
          <t>ตรวจนับทรัพย์สิน (Stocktake)</t>
        </is>
      </c>
      <c r="C224" s="5" t="inlineStr">
        <is>
          <t>ตรวจนับทรัพย์สิน</t>
        </is>
      </c>
      <c r="D224" s="5" t="inlineStr">
        <is>
          <t>แสดงผลบน Desktop 1920px และความอ่านง่ายธีมมืด (ตรวจนับทรัพย์สิน)</t>
        </is>
      </c>
      <c r="E224" s="10" t="inlineStr">
        <is>
          <t>UI</t>
        </is>
      </c>
      <c r="F224" s="5" t="inlineStr">
        <is>
          <t>เข้าสู่ระบบแล้ว; หน้าจอ 1920×1080</t>
        </is>
      </c>
      <c r="G22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24" s="5" t="inlineStr">
        <is>
          <t>ความกว้าง 1920px</t>
        </is>
      </c>
      <c r="I22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24" s="10" t="inlineStr">
        <is>
          <t>Low</t>
        </is>
      </c>
      <c r="K224" s="5" t="inlineStr">
        <is>
          <t>ผู้ดูแลระบบสูงสุด (admin)</t>
        </is>
      </c>
      <c r="L224" s="5" t="n"/>
      <c r="M224" s="10" t="inlineStr">
        <is>
          <t>ยังไม่ทดสอบ</t>
        </is>
      </c>
      <c r="N224" s="5" t="n"/>
      <c r="O224" s="18" t="n"/>
      <c r="P224" s="5" t="n"/>
      <c r="Q224" s="5" t="inlineStr">
        <is>
          <t>41ca3fb4</t>
        </is>
      </c>
    </row>
    <row r="225" ht="33" customHeight="1">
      <c r="A225" s="10" t="inlineStr">
        <is>
          <t>UAT-DAM-001</t>
        </is>
      </c>
      <c r="B225" s="5" t="inlineStr">
        <is>
          <t>คลังดิจิทัล (DAM)</t>
        </is>
      </c>
      <c r="C225" s="5" t="inlineStr">
        <is>
          <t>คลังดิจิทัล (DAM)</t>
        </is>
      </c>
      <c r="D225" s="5" t="inlineStr">
        <is>
          <t>แสดงไฟล์แบบกริดและรายการ</t>
        </is>
      </c>
      <c r="E225" s="10" t="inlineStr">
        <is>
          <t>UI</t>
        </is>
      </c>
      <c r="F225" s="5" t="inlineStr">
        <is>
          <t>เข้าสู่ระบบแล้ว</t>
        </is>
      </c>
      <c r="G225" s="5" t="inlineStr">
        <is>
          <t>1. เปิดหน้า DAM
2. สลับ "กริด" / "รายการ"</t>
        </is>
      </c>
      <c r="H225" s="5" t="inlineStr">
        <is>
          <t>-</t>
        </is>
      </c>
      <c r="I225" s="5" t="inlineStr">
        <is>
          <t>การ์ดไฟล์แสดง ประเภท ชื่อ ไฟล์ เวอร์ชัน ขนาด วันหมดอายุ แท็ก; สลับมุมมองได้</t>
        </is>
      </c>
      <c r="J225" s="10" t="inlineStr">
        <is>
          <t>Medium</t>
        </is>
      </c>
      <c r="K225" s="5" t="inlineStr">
        <is>
          <t>ผู้จัดการทรัพย์สิน (asset.mgr)</t>
        </is>
      </c>
      <c r="L225" s="5" t="n"/>
      <c r="M225" s="10" t="inlineStr">
        <is>
          <t>ยังไม่ทดสอบ</t>
        </is>
      </c>
      <c r="N225" s="5" t="n"/>
      <c r="O225" s="18" t="n"/>
      <c r="P225" s="5" t="n"/>
      <c r="Q225" s="5" t="inlineStr">
        <is>
          <t>d035a0b6</t>
        </is>
      </c>
    </row>
    <row r="226" ht="47.5" customHeight="1">
      <c r="A226" s="10" t="inlineStr">
        <is>
          <t>UAT-DAM-002</t>
        </is>
      </c>
      <c r="B226" s="5" t="inlineStr">
        <is>
          <t>คลังดิจิทัล (DAM)</t>
        </is>
      </c>
      <c r="C226" s="5" t="inlineStr">
        <is>
          <t>คลังดิจิทัล (DAM)</t>
        </is>
      </c>
      <c r="D226" s="5" t="inlineStr">
        <is>
          <t>ตัวกรองด่วนและโฟลเดอร์</t>
        </is>
      </c>
      <c r="E226" s="10" t="inlineStr">
        <is>
          <t>Functional</t>
        </is>
      </c>
      <c r="F226" s="5" t="inlineStr">
        <is>
          <t>เข้าสู่ระบบแล้ว</t>
        </is>
      </c>
      <c r="G226" s="5" t="inlineStr">
        <is>
          <t>1. คลิก "ใกล้/หมดอายุ"
2. คลิกโฟลเดอร์ "ใบรับประกัน &amp; ใบสอบเทียบ"
3. คลิก "ทั้งหมด"</t>
        </is>
      </c>
      <c r="H226" s="5" t="inlineStr">
        <is>
          <t>-</t>
        </is>
      </c>
      <c r="I226" s="5" t="inlineStr">
        <is>
          <t>แสดงไฟล์ตามตัวกรอง/โฟลเดอร์ ตัวนับโฟลเดอร์ถูกต้อง</t>
        </is>
      </c>
      <c r="J226" s="10" t="inlineStr">
        <is>
          <t>Medium</t>
        </is>
      </c>
      <c r="K226" s="5" t="inlineStr">
        <is>
          <t>ผู้จัดการทรัพย์สิน (asset.mgr)</t>
        </is>
      </c>
      <c r="L226" s="5" t="n"/>
      <c r="M226" s="10" t="inlineStr">
        <is>
          <t>ยังไม่ทดสอบ</t>
        </is>
      </c>
      <c r="N226" s="5" t="n"/>
      <c r="O226" s="18" t="n"/>
      <c r="P226" s="5" t="n"/>
      <c r="Q226" s="5" t="inlineStr">
        <is>
          <t>d035a0b6</t>
        </is>
      </c>
    </row>
    <row r="227" ht="33" customHeight="1">
      <c r="A227" s="10" t="inlineStr">
        <is>
          <t>UAT-DAM-003</t>
        </is>
      </c>
      <c r="B227" s="5" t="inlineStr">
        <is>
          <t>คลังดิจิทัล (DAM)</t>
        </is>
      </c>
      <c r="C227" s="5" t="inlineStr">
        <is>
          <t>คลังดิจิทัล (DAM)</t>
        </is>
      </c>
      <c r="D227" s="5" t="inlineStr">
        <is>
          <t>กรองประเภทและเรียงลำดับ</t>
        </is>
      </c>
      <c r="E227" s="10" t="inlineStr">
        <is>
          <t>Functional</t>
        </is>
      </c>
      <c r="F227" s="5" t="inlineStr">
        <is>
          <t>เข้าสู่ระบบแล้ว</t>
        </is>
      </c>
      <c r="G227" s="5" t="inlineStr">
        <is>
          <t>1. เลือกประเภท ใบรับรอง/สอบเทียบ
2. เรียงตาม วันหมดอายุ</t>
        </is>
      </c>
      <c r="H227" s="5" t="inlineStr">
        <is>
          <t>-</t>
        </is>
      </c>
      <c r="I227" s="5" t="inlineStr">
        <is>
          <t>แสดงเฉพาะประเภทนั้น เรียงวันหมดอายุใกล้สุดก่อน</t>
        </is>
      </c>
      <c r="J227" s="10" t="inlineStr">
        <is>
          <t>Low</t>
        </is>
      </c>
      <c r="K227" s="5" t="inlineStr">
        <is>
          <t>ผู้จัดการทรัพย์สิน (asset.mgr)</t>
        </is>
      </c>
      <c r="L227" s="5" t="n"/>
      <c r="M227" s="10" t="inlineStr">
        <is>
          <t>ยังไม่ทดสอบ</t>
        </is>
      </c>
      <c r="N227" s="5" t="n"/>
      <c r="O227" s="18" t="n"/>
      <c r="P227" s="5" t="n"/>
      <c r="Q227" s="5" t="inlineStr">
        <is>
          <t>d035a0b6</t>
        </is>
      </c>
    </row>
    <row r="228" ht="76.5" customHeight="1">
      <c r="A228" s="10" t="inlineStr">
        <is>
          <t>UAT-DAM-004</t>
        </is>
      </c>
      <c r="B228" s="5" t="inlineStr">
        <is>
          <t>คลังดิจิทัล (DAM)</t>
        </is>
      </c>
      <c r="C228" s="5" t="inlineStr">
        <is>
          <t>คลังดิจิทัล (DAM)</t>
        </is>
      </c>
      <c r="D228" s="5" t="inlineStr">
        <is>
          <t>อัปโหลดไฟล์ผูกกับทรัพย์สิน (Happy path)</t>
        </is>
      </c>
      <c r="E228" s="10" t="inlineStr">
        <is>
          <t>Functional</t>
        </is>
      </c>
      <c r="F228" s="5" t="inlineStr">
        <is>
          <t>มีสิทธิ์ อัปโหลดไฟล์</t>
        </is>
      </c>
      <c r="G228" s="5" t="inlineStr">
        <is>
          <t>1. คลิก "อัปโหลด"
2. ลากไฟล์มาวาง
3. กรอกชื่อเอกสาร ประเภท แท็ก ผูกกับทรัพย์สิน วันหมดอายุ โฟลเดอร์
4. บันทึก</t>
        </is>
      </c>
      <c r="H228" s="5" t="inlineStr">
        <is>
          <t>คู่มือปั๊มน้ำ P-04.pdf; ประเภท คู่มือ; แท็ก #งานซ่อม; ผูก PMP-11; หมดอายุ 31/12/2570</t>
        </is>
      </c>
      <c r="I228" s="5" t="inlineStr">
        <is>
          <t>toast "อัปโหลด “คู่มือปั๊มน้ำ P-04” เรียบร้อย"; ไฟล์แสดงในโฟลเดอร์และในแท็บเอกสารของ Asset 360</t>
        </is>
      </c>
      <c r="J228" s="10" t="inlineStr">
        <is>
          <t>High</t>
        </is>
      </c>
      <c r="K228" s="5" t="inlineStr">
        <is>
          <t>ผู้จัดการทรัพย์สิน (asset.mgr)</t>
        </is>
      </c>
      <c r="L228" s="5" t="n"/>
      <c r="M228" s="10" t="inlineStr">
        <is>
          <t>ยังไม่ทดสอบ</t>
        </is>
      </c>
      <c r="N228" s="5" t="n"/>
      <c r="O228" s="18" t="n"/>
      <c r="P228" s="5" t="n"/>
      <c r="Q228" s="5" t="inlineStr">
        <is>
          <t>d035a0b6</t>
        </is>
      </c>
    </row>
    <row r="229" ht="33" customHeight="1">
      <c r="A229" s="10" t="inlineStr">
        <is>
          <t>UAT-DAM-005</t>
        </is>
      </c>
      <c r="B229" s="5" t="inlineStr">
        <is>
          <t>คลังดิจิทัล (DAM)</t>
        </is>
      </c>
      <c r="C229" s="5" t="inlineStr">
        <is>
          <t>คลังดิจิทัล (DAM)</t>
        </is>
      </c>
      <c r="D229" s="5" t="inlineStr">
        <is>
          <t>อัปโหลดโดยไม่เลือกไฟล์/ไม่มีชื่อ</t>
        </is>
      </c>
      <c r="E229" s="10" t="inlineStr">
        <is>
          <t>Validation</t>
        </is>
      </c>
      <c r="F229" s="5" t="inlineStr">
        <is>
          <t>เปิดฟอร์มอัปโหลด</t>
        </is>
      </c>
      <c r="G229" s="5" t="inlineStr">
        <is>
          <t>1. ไม่เลือกไฟล์
2. บันทึก</t>
        </is>
      </c>
      <c r="H229" s="5" t="inlineStr">
        <is>
          <t>-</t>
        </is>
      </c>
      <c r="I229" s="5" t="inlineStr">
        <is>
          <t>ไม่บันทึก แจ้งให้เลือกไฟล์และกรอกชื่อ</t>
        </is>
      </c>
      <c r="J229" s="10" t="inlineStr">
        <is>
          <t>High</t>
        </is>
      </c>
      <c r="K229" s="5" t="inlineStr">
        <is>
          <t>ผู้จัดการทรัพย์สิน (asset.mgr)</t>
        </is>
      </c>
      <c r="L229" s="5" t="n"/>
      <c r="M229" s="10" t="inlineStr">
        <is>
          <t>ยังไม่ทดสอบ</t>
        </is>
      </c>
      <c r="N229" s="5" t="n"/>
      <c r="O229" s="18" t="n"/>
      <c r="P229" s="5" t="n"/>
      <c r="Q229" s="5" t="inlineStr">
        <is>
          <t>d035a0b6</t>
        </is>
      </c>
    </row>
    <row r="230" ht="18.5" customHeight="1">
      <c r="A230" s="10" t="inlineStr">
        <is>
          <t>UAT-DAM-006</t>
        </is>
      </c>
      <c r="B230" s="5" t="inlineStr">
        <is>
          <t>คลังดิจิทัล (DAM)</t>
        </is>
      </c>
      <c r="C230" s="5" t="inlineStr">
        <is>
          <t>คลังดิจิทัล (DAM)</t>
        </is>
      </c>
      <c r="D230" s="5" t="inlineStr">
        <is>
          <t>อัปโหลดไฟล์เกินขนาด/ชนิดไม่อนุญาต</t>
        </is>
      </c>
      <c r="E230" s="10" t="inlineStr">
        <is>
          <t>Negative</t>
        </is>
      </c>
      <c r="F230" s="5" t="inlineStr">
        <is>
          <t>เปิดฟอร์มอัปโหลด</t>
        </is>
      </c>
      <c r="G230" s="5" t="inlineStr">
        <is>
          <t>1. อัปโหลดไฟล์ .exe หรือไฟล์เกินขนาดสูงสุด</t>
        </is>
      </c>
      <c r="H230" s="5" t="inlineStr">
        <is>
          <t>setup.exe; ไฟล์ 1.2 GB</t>
        </is>
      </c>
      <c r="I230" s="5" t="inlineStr">
        <is>
          <t>ระบบปฏิเสธพร้อมข้อความภาษาไทย</t>
        </is>
      </c>
      <c r="J230" s="10" t="inlineStr">
        <is>
          <t>Medium</t>
        </is>
      </c>
      <c r="K230" s="5" t="inlineStr">
        <is>
          <t>ผู้จัดการทรัพย์สิน (asset.mgr)</t>
        </is>
      </c>
      <c r="L230" s="5" t="n"/>
      <c r="M230" s="10" t="inlineStr">
        <is>
          <t>ยังไม่ทดสอบ</t>
        </is>
      </c>
      <c r="N230" s="5" t="n"/>
      <c r="O230" s="18" t="n"/>
      <c r="P230" s="5" t="n"/>
      <c r="Q230" s="5" t="inlineStr">
        <is>
          <t>d035a0b6</t>
        </is>
      </c>
    </row>
    <row r="231" ht="76.5" customHeight="1">
      <c r="A231" s="10" t="inlineStr">
        <is>
          <t>UAT-DAM-007</t>
        </is>
      </c>
      <c r="B231" s="5" t="inlineStr">
        <is>
          <t>คลังดิจิทัล (DAM)</t>
        </is>
      </c>
      <c r="C231" s="5" t="inlineStr">
        <is>
          <t>คลังดิจิทัล (DAM)</t>
        </is>
      </c>
      <c r="D231" s="5" t="inlineStr">
        <is>
          <t>เพิ่มฟิลด์เพิ่มเติม (Custom Field) ในฟอร์มอัปโหลดไฟล์</t>
        </is>
      </c>
      <c r="E231" s="10" t="inlineStr">
        <is>
          <t>Functional</t>
        </is>
      </c>
      <c r="F231" s="5" t="inlineStr">
        <is>
          <t>เข้าสู่ระบบแล้ว; เปิดฟอร์มอัปโหลดไฟล์</t>
        </is>
      </c>
      <c r="G231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231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231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231" s="10" t="inlineStr">
        <is>
          <t>Medium</t>
        </is>
      </c>
      <c r="K231" s="5" t="inlineStr">
        <is>
          <t>ผู้จัดการทรัพย์สิน (asset.mgr)</t>
        </is>
      </c>
      <c r="L231" s="5" t="n"/>
      <c r="M231" s="10" t="inlineStr">
        <is>
          <t>ยังไม่ทดสอบ</t>
        </is>
      </c>
      <c r="N231" s="5" t="n"/>
      <c r="O231" s="18" t="n"/>
      <c r="P231" s="5" t="n"/>
      <c r="Q231" s="5" t="inlineStr">
        <is>
          <t>d035a0b6</t>
        </is>
      </c>
    </row>
    <row r="232" ht="33" customHeight="1">
      <c r="A232" s="10" t="inlineStr">
        <is>
          <t>UAT-DAM-008</t>
        </is>
      </c>
      <c r="B232" s="5" t="inlineStr">
        <is>
          <t>คลังดิจิทัล (DAM)</t>
        </is>
      </c>
      <c r="C232" s="5" t="inlineStr">
        <is>
          <t>คลังดิจิทัล (DAM)</t>
        </is>
      </c>
      <c r="D232" s="5" t="inlineStr">
        <is>
          <t>ดูตัวอย่างและประวัติเวอร์ชัน</t>
        </is>
      </c>
      <c r="E232" s="10" t="inlineStr">
        <is>
          <t>Functional</t>
        </is>
      </c>
      <c r="F232" s="5" t="inlineStr">
        <is>
          <t>มีไฟล์หลายเวอร์ชัน (CNC-001_Maintenance_v2)</t>
        </is>
      </c>
      <c r="G232" s="5" t="inlineStr">
        <is>
          <t>1. คลิกไฟล์เพื่อดูตัวอย่าง</t>
        </is>
      </c>
      <c r="H232" s="5" t="inlineStr">
        <is>
          <t>-</t>
        </is>
      </c>
      <c r="I232" s="5" t="inlineStr">
        <is>
          <t>แสดงรายละเอียด ไฟล์ ประเภท แท็ก ประวัติเวอร์ชัน (ปัจจุบัน/เก่า) และทรัพย์สินที่ผูก</t>
        </is>
      </c>
      <c r="J232" s="10" t="inlineStr">
        <is>
          <t>Medium</t>
        </is>
      </c>
      <c r="K232" s="5" t="inlineStr">
        <is>
          <t>ผู้จัดการทรัพย์สิน (asset.mgr)</t>
        </is>
      </c>
      <c r="L232" s="5" t="n"/>
      <c r="M232" s="10" t="inlineStr">
        <is>
          <t>ยังไม่ทดสอบ</t>
        </is>
      </c>
      <c r="N232" s="5" t="n"/>
      <c r="O232" s="18" t="n"/>
      <c r="P232" s="5" t="n"/>
      <c r="Q232" s="5" t="inlineStr">
        <is>
          <t>d035a0b6</t>
        </is>
      </c>
    </row>
    <row r="233" ht="33" customHeight="1">
      <c r="A233" s="10" t="inlineStr">
        <is>
          <t>UAT-DAM-009</t>
        </is>
      </c>
      <c r="B233" s="5" t="inlineStr">
        <is>
          <t>คลังดิจิทัล (DAM)</t>
        </is>
      </c>
      <c r="C233" s="5" t="inlineStr">
        <is>
          <t>คลังดิจิทัล (DAM)</t>
        </is>
      </c>
      <c r="D233" s="5" t="inlineStr">
        <is>
          <t>อัปโหลดเวอร์ชันใหม่</t>
        </is>
      </c>
      <c r="E233" s="10" t="inlineStr">
        <is>
          <t>Functional</t>
        </is>
      </c>
      <c r="F233" s="5" t="inlineStr">
        <is>
          <t>เปิดดูไฟล์</t>
        </is>
      </c>
      <c r="G233" s="5" t="inlineStr">
        <is>
          <t>1. คลิก "อัปโหลดใหม่"
2. เลือกไฟล์ใหม่</t>
        </is>
      </c>
      <c r="H233" s="5" t="inlineStr">
        <is>
          <t>-</t>
        </is>
      </c>
      <c r="I233" s="5" t="inlineStr">
        <is>
          <t>เวอร์ชันเพิ่ม (v2→v3) และเวอร์ชันเก่ายังเรียกดูได้</t>
        </is>
      </c>
      <c r="J233" s="10" t="inlineStr">
        <is>
          <t>Medium</t>
        </is>
      </c>
      <c r="K233" s="5" t="inlineStr">
        <is>
          <t>ผู้จัดการทรัพย์สิน (asset.mgr)</t>
        </is>
      </c>
      <c r="L233" s="5" t="n"/>
      <c r="M233" s="10" t="inlineStr">
        <is>
          <t>ยังไม่ทดสอบ</t>
        </is>
      </c>
      <c r="N233" s="5" t="n"/>
      <c r="O233" s="18" t="n"/>
      <c r="P233" s="5" t="n"/>
      <c r="Q233" s="5" t="inlineStr">
        <is>
          <t>d035a0b6</t>
        </is>
      </c>
    </row>
    <row r="234" ht="33" customHeight="1">
      <c r="A234" s="10" t="inlineStr">
        <is>
          <t>UAT-DAM-010</t>
        </is>
      </c>
      <c r="B234" s="5" t="inlineStr">
        <is>
          <t>คลังดิจิทัล (DAM)</t>
        </is>
      </c>
      <c r="C234" s="5" t="inlineStr">
        <is>
          <t>คลังดิจิทัล (DAM)</t>
        </is>
      </c>
      <c r="D234" s="5" t="inlineStr">
        <is>
          <t>Check-out / Check-in เอกสาร</t>
        </is>
      </c>
      <c r="E234" s="10" t="inlineStr">
        <is>
          <t>Functional</t>
        </is>
      </c>
      <c r="F234" s="5" t="inlineStr">
        <is>
          <t>เข้าสู่ระบบแล้ว</t>
        </is>
      </c>
      <c r="G234" s="5" t="inlineStr">
        <is>
          <t>1. คลิก "Check-out"
2. ผู้ใช้อื่นเปิดไฟล์เดียวกัน</t>
        </is>
      </c>
      <c r="H234" s="5" t="inlineStr">
        <is>
          <t>-</t>
        </is>
      </c>
      <c r="I234" s="5" t="inlineStr">
        <is>
          <t>ไฟล์แสดงสถานะ Check-out อยู่ และผู้ใช้อื่นแก้ไข/อัปโหลดทับไม่ได้จน Check-in</t>
        </is>
      </c>
      <c r="J234" s="10" t="inlineStr">
        <is>
          <t>Medium</t>
        </is>
      </c>
      <c r="K234" s="5" t="inlineStr">
        <is>
          <t>ผู้จัดการทรัพย์สิน (asset.mgr)</t>
        </is>
      </c>
      <c r="L234" s="5" t="n"/>
      <c r="M234" s="10" t="inlineStr">
        <is>
          <t>ยังไม่ทดสอบ</t>
        </is>
      </c>
      <c r="N234" s="5" t="n"/>
      <c r="O234" s="18" t="n"/>
      <c r="P234" s="5" t="n"/>
      <c r="Q234" s="5" t="inlineStr">
        <is>
          <t>d035a0b6</t>
        </is>
      </c>
    </row>
    <row r="235" ht="33" customHeight="1">
      <c r="A235" s="10" t="inlineStr">
        <is>
          <t>UAT-DAM-011</t>
        </is>
      </c>
      <c r="B235" s="5" t="inlineStr">
        <is>
          <t>คลังดิจิทัล (DAM)</t>
        </is>
      </c>
      <c r="C235" s="5" t="inlineStr">
        <is>
          <t>คลังดิจิทัล (DAM)</t>
        </is>
      </c>
      <c r="D235" s="5" t="inlineStr">
        <is>
          <t>ดาวน์โหลดและแชร์</t>
        </is>
      </c>
      <c r="E235" s="10" t="inlineStr">
        <is>
          <t>Functional</t>
        </is>
      </c>
      <c r="F235" s="5" t="inlineStr">
        <is>
          <t>เข้าสู่ระบบแล้ว</t>
        </is>
      </c>
      <c r="G235" s="5" t="inlineStr">
        <is>
          <t>1. คลิก "ดาวน์โหลด"
2. คลิก "แชร์"</t>
        </is>
      </c>
      <c r="H235" s="5" t="inlineStr">
        <is>
          <t>-</t>
        </is>
      </c>
      <c r="I235" s="5" t="inlineStr">
        <is>
          <t>ดาวน์โหลดไฟล์ต้นฉบับ; Audit Log บันทึก download; แชร์สร้างลิงก์ตามสิทธิ์</t>
        </is>
      </c>
      <c r="J235" s="10" t="inlineStr">
        <is>
          <t>Low</t>
        </is>
      </c>
      <c r="K235" s="5" t="inlineStr">
        <is>
          <t>ผู้จัดการทรัพย์สิน (asset.mgr)</t>
        </is>
      </c>
      <c r="L235" s="5" t="n"/>
      <c r="M235" s="10" t="inlineStr">
        <is>
          <t>ยังไม่ทดสอบ</t>
        </is>
      </c>
      <c r="N235" s="5" t="n"/>
      <c r="O235" s="18" t="n"/>
      <c r="P235" s="5" t="n"/>
      <c r="Q235" s="5" t="inlineStr">
        <is>
          <t>d035a0b6</t>
        </is>
      </c>
    </row>
    <row r="236" ht="33" customHeight="1">
      <c r="A236" s="10" t="inlineStr">
        <is>
          <t>UAT-DAM-012</t>
        </is>
      </c>
      <c r="B236" s="5" t="inlineStr">
        <is>
          <t>คลังดิจิทัล (DAM)</t>
        </is>
      </c>
      <c r="C236" s="5" t="inlineStr">
        <is>
          <t>คลังดิจิทัล (DAM)</t>
        </is>
      </c>
      <c r="D236" s="5" t="inlineStr">
        <is>
          <t>สร้างโฟลเดอร์ใหม่</t>
        </is>
      </c>
      <c r="E236" s="10" t="inlineStr">
        <is>
          <t>Functional</t>
        </is>
      </c>
      <c r="F236" s="5" t="inlineStr">
        <is>
          <t>มีสิทธิ์ จัดการโฟลเดอร์</t>
        </is>
      </c>
      <c r="G236" s="5" t="inlineStr">
        <is>
          <t>1. คลิก "+ โฟลเดอร์"
2. ตั้งชื่อ</t>
        </is>
      </c>
      <c r="H236" s="5" t="inlineStr">
        <is>
          <t>SOP งานไฟฟ้า</t>
        </is>
      </c>
      <c r="I236" s="5" t="inlineStr">
        <is>
          <t>toast "สร้างโฟลเดอร์ใหม่แล้ว" และแสดงในต้นไม้โฟลเดอร์</t>
        </is>
      </c>
      <c r="J236" s="10" t="inlineStr">
        <is>
          <t>Low</t>
        </is>
      </c>
      <c r="K236" s="5" t="inlineStr">
        <is>
          <t>ผู้จัดการทรัพย์สิน (asset.mgr)</t>
        </is>
      </c>
      <c r="L236" s="5" t="n"/>
      <c r="M236" s="10" t="inlineStr">
        <is>
          <t>ยังไม่ทดสอบ</t>
        </is>
      </c>
      <c r="N236" s="5" t="n"/>
      <c r="O236" s="18" t="n"/>
      <c r="P236" s="5" t="n"/>
      <c r="Q236" s="5" t="inlineStr">
        <is>
          <t>d035a0b6</t>
        </is>
      </c>
    </row>
    <row r="237" ht="33" customHeight="1">
      <c r="A237" s="10" t="inlineStr">
        <is>
          <t>UAT-DAM-013</t>
        </is>
      </c>
      <c r="B237" s="5" t="inlineStr">
        <is>
          <t>คลังดิจิทัล (DAM)</t>
        </is>
      </c>
      <c r="C237" s="5" t="inlineStr">
        <is>
          <t>คลังดิจิทัล (DAM)</t>
        </is>
      </c>
      <c r="D237" s="5" t="inlineStr">
        <is>
          <t>เอกสารใกล้หมดอายุแสดงเตือน</t>
        </is>
      </c>
      <c r="E237" s="10" t="inlineStr">
        <is>
          <t>UI</t>
        </is>
      </c>
      <c r="F237" s="5" t="inlineStr">
        <is>
          <t>มี FW-001_Warranty.pdf หมด 21 ต.ค. 2569</t>
        </is>
      </c>
      <c r="G237" s="5" t="inlineStr">
        <is>
          <t>1. ตรวจการ์ดไฟล์และสรุปภาพรวม</t>
        </is>
      </c>
      <c r="H237" s="5" t="inlineStr">
        <is>
          <t>-</t>
        </is>
      </c>
      <c r="I237" s="5" t="inlineStr">
        <is>
          <t>การ์ดแสดง "⚠ หมด 21 ต.ค. 2569"; สรุป "เอกสารใกล้หมดอายุ n"; ปฏิทินรวมแสดงเหตุการณ์เอกสารหมดอายุ</t>
        </is>
      </c>
      <c r="J237" s="10" t="inlineStr">
        <is>
          <t>Medium</t>
        </is>
      </c>
      <c r="K237" s="5" t="inlineStr">
        <is>
          <t>ผู้จัดการทรัพย์สิน (asset.mgr)</t>
        </is>
      </c>
      <c r="L237" s="5" t="n"/>
      <c r="M237" s="10" t="inlineStr">
        <is>
          <t>ยังไม่ทดสอบ</t>
        </is>
      </c>
      <c r="N237" s="5" t="n"/>
      <c r="O237" s="18" t="n"/>
      <c r="P237" s="5" t="n"/>
      <c r="Q237" s="5" t="inlineStr">
        <is>
          <t>d035a0b6</t>
        </is>
      </c>
    </row>
    <row r="238" ht="47.5" customHeight="1">
      <c r="A238" s="10" t="inlineStr">
        <is>
          <t>UAT-DAM-014</t>
        </is>
      </c>
      <c r="B238" s="5" t="inlineStr">
        <is>
          <t>คลังดิจิทัล (DAM)</t>
        </is>
      </c>
      <c r="C238" s="5" t="inlineStr">
        <is>
          <t>คลังดิจิทัล (DAM)</t>
        </is>
      </c>
      <c r="D238" s="5" t="inlineStr">
        <is>
          <t>ลบไฟล์ไปถังขยะและกู้คืน</t>
        </is>
      </c>
      <c r="E238" s="10" t="inlineStr">
        <is>
          <t>Functional</t>
        </is>
      </c>
      <c r="F238" s="5" t="inlineStr">
        <is>
          <t>มีสิทธิ์ลบ</t>
        </is>
      </c>
      <c r="G238" s="5" t="inlineStr">
        <is>
          <t>1. ลบไฟล์
2. เปิด "ถังขยะ"
3. กู้คืน</t>
        </is>
      </c>
      <c r="H238" s="5" t="inlineStr">
        <is>
          <t>-</t>
        </is>
      </c>
      <c r="I238" s="5" t="inlineStr">
        <is>
          <t>ไฟล์ย้ายไปถังขยะและกู้คืนได้; ไฟล์ที่ตั้ง retention ห้ามลบก่อนครบกำหนด</t>
        </is>
      </c>
      <c r="J238" s="10" t="inlineStr">
        <is>
          <t>Medium</t>
        </is>
      </c>
      <c r="K238" s="5" t="inlineStr">
        <is>
          <t>ผู้จัดการทรัพย์สิน (asset.mgr)</t>
        </is>
      </c>
      <c r="L238" s="5" t="n"/>
      <c r="M238" s="10" t="inlineStr">
        <is>
          <t>ยังไม่ทดสอบ</t>
        </is>
      </c>
      <c r="N238" s="5" t="n"/>
      <c r="O238" s="18" t="n"/>
      <c r="P238" s="5" t="n"/>
      <c r="Q238" s="5" t="inlineStr">
        <is>
          <t>d035a0b6</t>
        </is>
      </c>
    </row>
    <row r="239" ht="18.5" customHeight="1">
      <c r="A239" s="10" t="inlineStr">
        <is>
          <t>UAT-DAM-015</t>
        </is>
      </c>
      <c r="B239" s="5" t="inlineStr">
        <is>
          <t>คลังดิจิทัล (DAM)</t>
        </is>
      </c>
      <c r="C239" s="5" t="inlineStr">
        <is>
          <t>คลังดิจิทัล (DAM)</t>
        </is>
      </c>
      <c r="D239" s="5" t="inlineStr">
        <is>
          <t>ไฟล์ส่วนตัว/สิทธิ์โฟลเดอร์</t>
        </is>
      </c>
      <c r="E239" s="10" t="inlineStr">
        <is>
          <t>Permission</t>
        </is>
      </c>
      <c r="F239" s="5" t="inlineStr">
        <is>
          <t>มีไฟล์ UPS_plan_private ที่จำกัดสิทธิ์</t>
        </is>
      </c>
      <c r="G239" s="5" t="inlineStr">
        <is>
          <t>1. ล็อกอินเป็นช่างแล้วค้นหาไฟล์</t>
        </is>
      </c>
      <c r="H239" s="5" t="inlineStr">
        <is>
          <t>-</t>
        </is>
      </c>
      <c r="I239" s="5" t="inlineStr">
        <is>
          <t>ผู้ไม่มีสิทธิ์ไม่เห็น/เปิดไม่ได้</t>
        </is>
      </c>
      <c r="J239" s="10" t="inlineStr">
        <is>
          <t>High</t>
        </is>
      </c>
      <c r="K239" s="5" t="inlineStr">
        <is>
          <t>ช่างซ่อมบำรุง (somchai)</t>
        </is>
      </c>
      <c r="L239" s="5" t="n"/>
      <c r="M239" s="10" t="inlineStr">
        <is>
          <t>ยังไม่ทดสอบ</t>
        </is>
      </c>
      <c r="N239" s="5" t="n"/>
      <c r="O239" s="18" t="n"/>
      <c r="P239" s="5" t="n"/>
      <c r="Q239" s="5" t="inlineStr">
        <is>
          <t>d035a0b6</t>
        </is>
      </c>
    </row>
    <row r="240" ht="33" customHeight="1">
      <c r="A240" s="10" t="inlineStr">
        <is>
          <t>UAT-DAM-016</t>
        </is>
      </c>
      <c r="B240" s="5" t="inlineStr">
        <is>
          <t>คลังดิจิทัล (DAM)</t>
        </is>
      </c>
      <c r="C240" s="5" t="inlineStr">
        <is>
          <t>คลังดิจิทัล (DAM)</t>
        </is>
      </c>
      <c r="D240" s="5" t="inlineStr">
        <is>
          <t>ค้นหาไม่พบข้อมูล (คลังดิจิทัล (DAM))</t>
        </is>
      </c>
      <c r="E240" s="10" t="inlineStr">
        <is>
          <t>Negative</t>
        </is>
      </c>
      <c r="F240" s="5" t="inlineStr">
        <is>
          <t>เข้าสู่ระบบแล้ว และอยู่ที่หน้าคลังดิจิทัล (DAM)</t>
        </is>
      </c>
      <c r="G240" s="5" t="inlineStr">
        <is>
          <t>1. พิมพ์คำค้นที่ไม่มีอยู่จริงในช่อง "ค้นหา ชื่อ/ไฟล์/คำอธิบาย/แท็ก"
2. สังเกตตาราง/รายการ</t>
        </is>
      </c>
      <c r="H240" s="5" t="inlineStr">
        <is>
          <t>คำค้น: ZZZ-NOTFOUND-999</t>
        </is>
      </c>
      <c r="I240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40" s="10" t="inlineStr">
        <is>
          <t>Low</t>
        </is>
      </c>
      <c r="K240" s="5" t="inlineStr">
        <is>
          <t>ผู้จัดการทรัพย์สิน (asset.mgr)</t>
        </is>
      </c>
      <c r="L240" s="5" t="n"/>
      <c r="M240" s="10" t="inlineStr">
        <is>
          <t>ยังไม่ทดสอบ</t>
        </is>
      </c>
      <c r="N240" s="5" t="n"/>
      <c r="O240" s="18" t="n"/>
      <c r="P240" s="5" t="n"/>
      <c r="Q240" s="5" t="inlineStr">
        <is>
          <t>d035a0b6</t>
        </is>
      </c>
    </row>
    <row r="241" ht="47.5" customHeight="1">
      <c r="A241" s="10" t="inlineStr">
        <is>
          <t>UAT-DAM-017</t>
        </is>
      </c>
      <c r="B241" s="5" t="inlineStr">
        <is>
          <t>คลังดิจิทัล (DAM)</t>
        </is>
      </c>
      <c r="C241" s="5" t="inlineStr">
        <is>
          <t>คลังดิจิทัล (DAM)</t>
        </is>
      </c>
      <c r="D241" s="5" t="inlineStr">
        <is>
          <t>ค้นหาด้วยคำค้นที่มีอยู่จริง (คลังดิจิทัล (DAM))</t>
        </is>
      </c>
      <c r="E241" s="10" t="inlineStr">
        <is>
          <t>Functional</t>
        </is>
      </c>
      <c r="F241" s="5" t="inlineStr">
        <is>
          <t>เข้าสู่ระบบแล้ว และอยู่ที่หน้าคลังดิจิทัล (DAM)</t>
        </is>
      </c>
      <c r="G241" s="5" t="inlineStr">
        <is>
          <t>1. พิมพ์คำค้นในช่อง "ค้นหา ชื่อ/ไฟล์/คำอธิบาย/แท็ก"
2. ตรวจรายการที่แสดง
3. ล้างคำค้น</t>
        </is>
      </c>
      <c r="H241" s="5" t="inlineStr">
        <is>
          <t>คำค้น: #ISO17025</t>
        </is>
      </c>
      <c r="I241" s="5" t="inlineStr">
        <is>
          <t>แสดงเฉพาะรายการที่ตรงกับคำค้น (ใบสอบเทียบเกจวัดแรงดัน GAU-011); เมื่อล้างคำค้นรายการกลับมาครบ</t>
        </is>
      </c>
      <c r="J241" s="10" t="inlineStr">
        <is>
          <t>Medium</t>
        </is>
      </c>
      <c r="K241" s="5" t="inlineStr">
        <is>
          <t>ผู้จัดการทรัพย์สิน (asset.mgr)</t>
        </is>
      </c>
      <c r="L241" s="5" t="n"/>
      <c r="M241" s="10" t="inlineStr">
        <is>
          <t>ยังไม่ทดสอบ</t>
        </is>
      </c>
      <c r="N241" s="5" t="n"/>
      <c r="O241" s="18" t="n"/>
      <c r="P241" s="5" t="n"/>
      <c r="Q241" s="5" t="inlineStr">
        <is>
          <t>d035a0b6</t>
        </is>
      </c>
    </row>
    <row r="242" ht="62" customHeight="1">
      <c r="A242" s="10" t="inlineStr">
        <is>
          <t>UAT-DAM-018</t>
        </is>
      </c>
      <c r="B242" s="5" t="inlineStr">
        <is>
          <t>คลังดิจิทัล (DAM)</t>
        </is>
      </c>
      <c r="C242" s="5" t="inlineStr">
        <is>
          <t>คลังดิจิทัล (DAM)</t>
        </is>
      </c>
      <c r="D242" s="5" t="inlineStr">
        <is>
          <t>แสดงผลบนมือถือ 375px (คลังดิจิทัล (DAM))</t>
        </is>
      </c>
      <c r="E242" s="10" t="inlineStr">
        <is>
          <t>Responsive</t>
        </is>
      </c>
      <c r="F242" s="5" t="inlineStr">
        <is>
          <t>เข้าสู่ระบบแล้ว; เปิด DevTools โหมดอุปกรณ์ iPhone SE/375×667</t>
        </is>
      </c>
      <c r="G242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42" s="5" t="inlineStr">
        <is>
          <t>ความกว้าง 375px</t>
        </is>
      </c>
      <c r="I242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242" s="10" t="inlineStr">
        <is>
          <t>Medium</t>
        </is>
      </c>
      <c r="K242" s="5" t="inlineStr">
        <is>
          <t>ผู้จัดการทรัพย์สิน (asset.mgr)</t>
        </is>
      </c>
      <c r="L242" s="5" t="n"/>
      <c r="M242" s="10" t="inlineStr">
        <is>
          <t>ยังไม่ทดสอบ</t>
        </is>
      </c>
      <c r="N242" s="5" t="n"/>
      <c r="O242" s="18" t="n"/>
      <c r="P242" s="5" t="n"/>
      <c r="Q242" s="5" t="inlineStr">
        <is>
          <t>d035a0b6</t>
        </is>
      </c>
    </row>
    <row r="243" ht="62" customHeight="1">
      <c r="A243" s="10" t="inlineStr">
        <is>
          <t>UAT-DAM-019</t>
        </is>
      </c>
      <c r="B243" s="5" t="inlineStr">
        <is>
          <t>คลังดิจิทัล (DAM)</t>
        </is>
      </c>
      <c r="C243" s="5" t="inlineStr">
        <is>
          <t>คลังดิจิทัล (DAM)</t>
        </is>
      </c>
      <c r="D243" s="5" t="inlineStr">
        <is>
          <t>แสดงผลบน Desktop 1920px และความอ่านง่ายธีมมืด (คลังดิจิทัล (DAM))</t>
        </is>
      </c>
      <c r="E243" s="10" t="inlineStr">
        <is>
          <t>UI</t>
        </is>
      </c>
      <c r="F243" s="5" t="inlineStr">
        <is>
          <t>เข้าสู่ระบบแล้ว; หน้าจอ 1920×1080</t>
        </is>
      </c>
      <c r="G243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43" s="5" t="inlineStr">
        <is>
          <t>ความกว้าง 1920px</t>
        </is>
      </c>
      <c r="I243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43" s="10" t="inlineStr">
        <is>
          <t>Low</t>
        </is>
      </c>
      <c r="K243" s="5" t="inlineStr">
        <is>
          <t>ผู้จัดการทรัพย์สิน (asset.mgr)</t>
        </is>
      </c>
      <c r="L243" s="5" t="n"/>
      <c r="M243" s="10" t="inlineStr">
        <is>
          <t>ยังไม่ทดสอบ</t>
        </is>
      </c>
      <c r="N243" s="5" t="n"/>
      <c r="O243" s="18" t="n"/>
      <c r="P243" s="5" t="n"/>
      <c r="Q243" s="5" t="inlineStr">
        <is>
          <t>d035a0b6</t>
        </is>
      </c>
    </row>
    <row r="244" ht="47.5" customHeight="1">
      <c r="A244" s="10" t="inlineStr">
        <is>
          <t>UAT-WO-001</t>
        </is>
      </c>
      <c r="B244" s="5" t="inlineStr">
        <is>
          <t>ใบสั่งงาน (Work Orders)</t>
        </is>
      </c>
      <c r="C244" s="5" t="inlineStr">
        <is>
          <t>ใบสั่งงาน (WO)</t>
        </is>
      </c>
      <c r="D244" s="5" t="inlineStr">
        <is>
          <t>KPI และกราฟสถานะ/อายุงาน</t>
        </is>
      </c>
      <c r="E244" s="10" t="inlineStr">
        <is>
          <t>UI</t>
        </is>
      </c>
      <c r="F244" s="5" t="inlineStr">
        <is>
          <t>เข้าสู่ระบบแล้ว</t>
        </is>
      </c>
      <c r="G244" s="5" t="inlineStr">
        <is>
          <t>1. เปิดหน้าใบสั่งงาน</t>
        </is>
      </c>
      <c r="H244" s="5" t="inlineStr">
        <is>
          <t>-</t>
        </is>
      </c>
      <c r="I244" s="5" t="inlineStr">
        <is>
          <t>KPI งานเปิด (ของฉัน), เกิน SLA (P1), รออนุมัติ/มอบหมาย (รอของ), MTTR 90 วัน, ทัน SLA 90 วัน (เป้า 95%), PM Compliance; กราฟสถานะและอายุงาน (วัน) แสดงถูกต้อง</t>
        </is>
      </c>
      <c r="J244" s="10" t="inlineStr">
        <is>
          <t>Medium</t>
        </is>
      </c>
      <c r="K244" s="5" t="inlineStr">
        <is>
          <t>ผู้จัดการซ่อมบำรุง (maint.mgr)</t>
        </is>
      </c>
      <c r="L244" s="5" t="n"/>
      <c r="M244" s="10" t="inlineStr">
        <is>
          <t>ยังไม่ทดสอบ</t>
        </is>
      </c>
      <c r="N244" s="5" t="n"/>
      <c r="O244" s="18" t="n"/>
      <c r="P244" s="5" t="n"/>
      <c r="Q244" s="5" t="inlineStr">
        <is>
          <t>1a4e5713</t>
        </is>
      </c>
    </row>
    <row r="245" ht="18.5" customHeight="1">
      <c r="A245" s="10" t="inlineStr">
        <is>
          <t>UAT-WO-002</t>
        </is>
      </c>
      <c r="B245" s="5" t="inlineStr">
        <is>
          <t>ใบสั่งงาน (Work Orders)</t>
        </is>
      </c>
      <c r="C245" s="5" t="inlineStr">
        <is>
          <t>ใบสั่งงาน (WO)</t>
        </is>
      </c>
      <c r="D245" s="5" t="inlineStr">
        <is>
          <t>คลิกการ์ด KPI เพื่อกรอง</t>
        </is>
      </c>
      <c r="E245" s="10" t="inlineStr">
        <is>
          <t>Functional</t>
        </is>
      </c>
      <c r="F245" s="5" t="inlineStr">
        <is>
          <t>เข้าสู่ระบบแล้ว</t>
        </is>
      </c>
      <c r="G245" s="5" t="inlineStr">
        <is>
          <t>1. คลิกการ์ด "เกิน SLA"</t>
        </is>
      </c>
      <c r="H245" s="5" t="inlineStr">
        <is>
          <t>-</t>
        </is>
      </c>
      <c r="I245" s="5" t="inlineStr">
        <is>
          <t>ตารางกรองเฉพาะ WO เกิน SLA; checkbox เกิน SLA ถูกติ๊ก</t>
        </is>
      </c>
      <c r="J245" s="10" t="inlineStr">
        <is>
          <t>Medium</t>
        </is>
      </c>
      <c r="K245" s="5" t="inlineStr">
        <is>
          <t>ผู้จัดการซ่อมบำรุง (maint.mgr)</t>
        </is>
      </c>
      <c r="L245" s="5" t="n"/>
      <c r="M245" s="10" t="inlineStr">
        <is>
          <t>ยังไม่ทดสอบ</t>
        </is>
      </c>
      <c r="N245" s="5" t="n"/>
      <c r="O245" s="18" t="n"/>
      <c r="P245" s="5" t="n"/>
      <c r="Q245" s="5" t="inlineStr">
        <is>
          <t>1a4e5713</t>
        </is>
      </c>
    </row>
    <row r="246" ht="62" customHeight="1">
      <c r="A246" s="10" t="inlineStr">
        <is>
          <t>UAT-WO-003</t>
        </is>
      </c>
      <c r="B246" s="5" t="inlineStr">
        <is>
          <t>ใบสั่งงาน (Work Orders)</t>
        </is>
      </c>
      <c r="C246" s="5" t="inlineStr">
        <is>
          <t>ใบสั่งงาน (WO)</t>
        </is>
      </c>
      <c r="D246" s="5" t="inlineStr">
        <is>
          <t>กรองสถานะ/ประเภท/ระดับ</t>
        </is>
      </c>
      <c r="E246" s="10" t="inlineStr">
        <is>
          <t>Functional</t>
        </is>
      </c>
      <c r="F246" s="5" t="inlineStr">
        <is>
          <t>เข้าสู่ระบบแล้ว</t>
        </is>
      </c>
      <c r="G246" s="5" t="inlineStr">
        <is>
          <t>1. สถานะ = รออะไหล่/ผู้ขาย
2. ประเภท = Breakdown
3. ระดับ = P2 สูง</t>
        </is>
      </c>
      <c r="H246" s="5" t="inlineStr">
        <is>
          <t>-</t>
        </is>
      </c>
      <c r="I246" s="5" t="inlineStr">
        <is>
          <t>แสดงเฉพาะรายการตรงทุกเงื่อนไข; ตัวเลือกสถานะครบ (ร่าง…ยกเลิก), ประเภทครบ (Breakdown, Corrective, PM, Predictive, สอบเทียบ, ตรวจสอบ, IT Incident, IT Request, โครงการ), ระดับ P1–P4</t>
        </is>
      </c>
      <c r="J246" s="10" t="inlineStr">
        <is>
          <t>High</t>
        </is>
      </c>
      <c r="K246" s="5" t="inlineStr">
        <is>
          <t>ผู้จัดการซ่อมบำรุง (maint.mgr)</t>
        </is>
      </c>
      <c r="L246" s="5" t="n"/>
      <c r="M246" s="10" t="inlineStr">
        <is>
          <t>ยังไม่ทดสอบ</t>
        </is>
      </c>
      <c r="N246" s="5" t="n"/>
      <c r="O246" s="18" t="n"/>
      <c r="P246" s="5" t="n"/>
      <c r="Q246" s="5" t="inlineStr">
        <is>
          <t>1a4e5713</t>
        </is>
      </c>
    </row>
    <row r="247" ht="33" customHeight="1">
      <c r="A247" s="10" t="inlineStr">
        <is>
          <t>UAT-WO-004</t>
        </is>
      </c>
      <c r="B247" s="5" t="inlineStr">
        <is>
          <t>ใบสั่งงาน (Work Orders)</t>
        </is>
      </c>
      <c r="C247" s="5" t="inlineStr">
        <is>
          <t>ใบสั่งงาน (WO)</t>
        </is>
      </c>
      <c r="D247" s="5" t="inlineStr">
        <is>
          <t>Checkbox งานของฉัน / เกิน SLA</t>
        </is>
      </c>
      <c r="E247" s="10" t="inlineStr">
        <is>
          <t>Functional</t>
        </is>
      </c>
      <c r="F247" s="5" t="inlineStr">
        <is>
          <t>ล็อกอินเป็นช่าง somchai</t>
        </is>
      </c>
      <c r="G247" s="5" t="inlineStr">
        <is>
          <t>1. ติ๊ก "งานของฉัน"
2. ติ๊ก "เกิน SLA"</t>
        </is>
      </c>
      <c r="H247" s="5" t="inlineStr">
        <is>
          <t>-</t>
        </is>
      </c>
      <c r="I247" s="5" t="inlineStr">
        <is>
          <t>แสดงเฉพาะ WO ที่มอบหมายให้ตนเอง และ/หรือเกิน SLA</t>
        </is>
      </c>
      <c r="J247" s="10" t="inlineStr">
        <is>
          <t>Medium</t>
        </is>
      </c>
      <c r="K247" s="5" t="inlineStr">
        <is>
          <t>ช่างซ่อมบำรุง (somchai)</t>
        </is>
      </c>
      <c r="L247" s="5" t="n"/>
      <c r="M247" s="10" t="inlineStr">
        <is>
          <t>ยังไม่ทดสอบ</t>
        </is>
      </c>
      <c r="N247" s="5" t="n"/>
      <c r="O247" s="18" t="n"/>
      <c r="P247" s="5" t="n"/>
      <c r="Q247" s="5" t="inlineStr">
        <is>
          <t>1a4e5713</t>
        </is>
      </c>
    </row>
    <row r="248" ht="91" customHeight="1">
      <c r="A248" s="10" t="inlineStr">
        <is>
          <t>UAT-WO-005</t>
        </is>
      </c>
      <c r="B248" s="5" t="inlineStr">
        <is>
          <t>ใบสั่งงาน (Work Orders)</t>
        </is>
      </c>
      <c r="C248" s="5" t="inlineStr">
        <is>
          <t>ใบสั่งงาน (WO)</t>
        </is>
      </c>
      <c r="D248" s="5" t="inlineStr">
        <is>
          <t>สร้างใบสั่งงาน (Happy path)</t>
        </is>
      </c>
      <c r="E248" s="10" t="inlineStr">
        <is>
          <t>Functional</t>
        </is>
      </c>
      <c r="F248" s="5" t="inlineStr">
        <is>
          <t>มีสิทธิ์ สร้างใบสั่งงาน</t>
        </is>
      </c>
      <c r="G248" s="5" t="inlineStr">
        <is>
          <t>1. คลิก "+ สร้างใบสั่งงาน"
2. เลือกประเภท Corrective, ระดับ P2
3. พิมพ์ค้นหาทรัพย์สิน "CNC" เลือก CNC-001
4. กรอกหัวข้อ รายละเอียด ไซต์ ผู้รับผิดชอบ วันที่กำหนดเสร็จ แนบไฟล์
5. บันทึก</t>
        </is>
      </c>
      <c r="H248" s="5" t="inlineStr">
        <is>
          <t>หัวข้อ: แกน Z ผิดตำแหน่ง; ช่าง: อนุชา; กำหนดเสร็จ 20/10/2569 17:00</t>
        </is>
      </c>
      <c r="I248" s="5" t="inlineStr">
        <is>
          <t>toast "บันทึกใบสั่งงาน WO-2569-xxxx เรียบร้อย"; WO ใหม่อยู่บนสุด สถานะ "มอบหมายแล้ว" (มีช่าง) หรือ "อนุมัติแล้ว" (ไม่มีช่าง); SLA คำนวณตามระดับ</t>
        </is>
      </c>
      <c r="J248" s="10" t="inlineStr">
        <is>
          <t>High</t>
        </is>
      </c>
      <c r="K248" s="5" t="inlineStr">
        <is>
          <t>ผู้จัดการซ่อมบำรุง (maint.mgr)</t>
        </is>
      </c>
      <c r="L248" s="5" t="n"/>
      <c r="M248" s="10" t="inlineStr">
        <is>
          <t>ยังไม่ทดสอบ</t>
        </is>
      </c>
      <c r="N248" s="5" t="n"/>
      <c r="O248" s="18" t="n"/>
      <c r="P248" s="5" t="n"/>
      <c r="Q248" s="5" t="inlineStr">
        <is>
          <t>1a4e5713</t>
        </is>
      </c>
    </row>
    <row r="249" ht="33" customHeight="1">
      <c r="A249" s="10" t="inlineStr">
        <is>
          <t>UAT-WO-006</t>
        </is>
      </c>
      <c r="B249" s="5" t="inlineStr">
        <is>
          <t>ใบสั่งงาน (Work Orders)</t>
        </is>
      </c>
      <c r="C249" s="5" t="inlineStr">
        <is>
          <t>ใบสั่งงาน (WO)</t>
        </is>
      </c>
      <c r="D249" s="5" t="inlineStr">
        <is>
          <t>สร้าง WO ไม่กรอกหัวข้อ</t>
        </is>
      </c>
      <c r="E249" s="10" t="inlineStr">
        <is>
          <t>Validation</t>
        </is>
      </c>
      <c r="F249" s="5" t="inlineStr">
        <is>
          <t>เปิดฟอร์มสร้าง WO</t>
        </is>
      </c>
      <c r="G249" s="5" t="inlineStr">
        <is>
          <t>1. เว้นว่าง หัวข้อ
2. บันทึก</t>
        </is>
      </c>
      <c r="H249" s="5" t="inlineStr">
        <is>
          <t>-</t>
        </is>
      </c>
      <c r="I249" s="5" t="inlineStr">
        <is>
          <t>ไม่บันทึก แจ้งฟิลด์บังคับ</t>
        </is>
      </c>
      <c r="J249" s="10" t="inlineStr">
        <is>
          <t>High</t>
        </is>
      </c>
      <c r="K249" s="5" t="inlineStr">
        <is>
          <t>ผู้จัดการซ่อมบำรุง (maint.mgr)</t>
        </is>
      </c>
      <c r="L249" s="5" t="n"/>
      <c r="M249" s="10" t="inlineStr">
        <is>
          <t>ยังไม่ทดสอบ</t>
        </is>
      </c>
      <c r="N249" s="5" t="n"/>
      <c r="O249" s="18" t="n"/>
      <c r="P249" s="5" t="n"/>
      <c r="Q249" s="5" t="inlineStr">
        <is>
          <t>1a4e5713</t>
        </is>
      </c>
    </row>
    <row r="250" ht="18.5" customHeight="1">
      <c r="A250" s="10" t="inlineStr">
        <is>
          <t>UAT-WO-007</t>
        </is>
      </c>
      <c r="B250" s="5" t="inlineStr">
        <is>
          <t>ใบสั่งงาน (Work Orders)</t>
        </is>
      </c>
      <c r="C250" s="5" t="inlineStr">
        <is>
          <t>ใบสั่งงาน (WO)</t>
        </is>
      </c>
      <c r="D250" s="5" t="inlineStr">
        <is>
          <t>หัวข้อเกิน 200 ตัวอักษร</t>
        </is>
      </c>
      <c r="E250" s="10" t="inlineStr">
        <is>
          <t>Validation</t>
        </is>
      </c>
      <c r="F250" s="5" t="inlineStr">
        <is>
          <t>เปิดฟอร์มสร้าง WO</t>
        </is>
      </c>
      <c r="G250" s="5" t="inlineStr">
        <is>
          <t>1. วางข้อความ 250 ตัวอักษรในหัวข้อ</t>
        </is>
      </c>
      <c r="H250" s="5" t="inlineStr">
        <is>
          <t>ข้อความยาว 250 ตัว</t>
        </is>
      </c>
      <c r="I250" s="5" t="inlineStr">
        <is>
          <t>รับได้สูงสุด 200 ตัวอักษร (maxlength)</t>
        </is>
      </c>
      <c r="J250" s="10" t="inlineStr">
        <is>
          <t>Low</t>
        </is>
      </c>
      <c r="K250" s="5" t="inlineStr">
        <is>
          <t>ผู้จัดการซ่อมบำรุง (maint.mgr)</t>
        </is>
      </c>
      <c r="L250" s="5" t="n"/>
      <c r="M250" s="10" t="inlineStr">
        <is>
          <t>ยังไม่ทดสอบ</t>
        </is>
      </c>
      <c r="N250" s="5" t="n"/>
      <c r="O250" s="18" t="n"/>
      <c r="P250" s="5" t="n"/>
      <c r="Q250" s="5" t="inlineStr">
        <is>
          <t>1a4e5713</t>
        </is>
      </c>
    </row>
    <row r="251" ht="47.5" customHeight="1">
      <c r="A251" s="10" t="inlineStr">
        <is>
          <t>UAT-WO-008</t>
        </is>
      </c>
      <c r="B251" s="5" t="inlineStr">
        <is>
          <t>ใบสั่งงาน (Work Orders)</t>
        </is>
      </c>
      <c r="C251" s="5" t="inlineStr">
        <is>
          <t>ใบสั่งงาน (WO)</t>
        </is>
      </c>
      <c r="D251" s="5" t="inlineStr">
        <is>
          <t>สร้าง WO โดยไม่ระบุทรัพย์สิน (งานอาคาร)</t>
        </is>
      </c>
      <c r="E251" s="10" t="inlineStr">
        <is>
          <t>Functional</t>
        </is>
      </c>
      <c r="F251" s="5" t="inlineStr">
        <is>
          <t>เปิดฟอร์มสร้าง WO</t>
        </is>
      </c>
      <c r="G251" s="5" t="inlineStr">
        <is>
          <t>1. เว้นว่างทรัพย์สิน
2. กรอกหัวข้อ "ซ่อมฝ้าห้องประชุม"
3. บันทึก</t>
        </is>
      </c>
      <c r="H251" s="5" t="inlineStr">
        <is>
          <t>-</t>
        </is>
      </c>
      <c r="I251" s="5" t="inlineStr">
        <is>
          <t>บันทึกได้ (ทรัพย์สินไม่บังคับ) แสดงทรัพย์สินเป็น "-"</t>
        </is>
      </c>
      <c r="J251" s="10" t="inlineStr">
        <is>
          <t>Medium</t>
        </is>
      </c>
      <c r="K251" s="5" t="inlineStr">
        <is>
          <t>ผู้จัดการซ่อมบำรุง (maint.mgr)</t>
        </is>
      </c>
      <c r="L251" s="5" t="n"/>
      <c r="M251" s="10" t="inlineStr">
        <is>
          <t>ยังไม่ทดสอบ</t>
        </is>
      </c>
      <c r="N251" s="5" t="n"/>
      <c r="O251" s="18" t="n"/>
      <c r="P251" s="5" t="n"/>
      <c r="Q251" s="5" t="inlineStr">
        <is>
          <t>1a4e5713</t>
        </is>
      </c>
    </row>
    <row r="252" ht="47.5" customHeight="1">
      <c r="A252" s="10" t="inlineStr">
        <is>
          <t>UAT-WO-009</t>
        </is>
      </c>
      <c r="B252" s="5" t="inlineStr">
        <is>
          <t>ใบสั่งงาน (Work Orders)</t>
        </is>
      </c>
      <c r="C252" s="5" t="inlineStr">
        <is>
          <t>ใบสั่งงาน (WO)</t>
        </is>
      </c>
      <c r="D252" s="5" t="inlineStr">
        <is>
          <t>ติ๊ก "เครื่องหยุดทำงาน" เริ่มนับ downtime</t>
        </is>
      </c>
      <c r="E252" s="10" t="inlineStr">
        <is>
          <t>Functional</t>
        </is>
      </c>
      <c r="F252" s="5" t="inlineStr">
        <is>
          <t>เปิดฟอร์มสร้าง WO</t>
        </is>
      </c>
      <c r="G252" s="5" t="inlineStr">
        <is>
          <t>1. ติ๊ก เครื่องหยุดทำงาน
2. บันทึก
3. เปิด WO ดู Downtime</t>
        </is>
      </c>
      <c r="H252" s="5" t="inlineStr">
        <is>
          <t>-</t>
        </is>
      </c>
      <c r="I252" s="5" t="inlineStr">
        <is>
          <t>Downtime เริ่มนับจากเวลาสร้าง; สถานะทรัพย์สินเป็น หยุดเดิน; แสดงในจอ TV/แดชบอร์ด</t>
        </is>
      </c>
      <c r="J252" s="10" t="inlineStr">
        <is>
          <t>High</t>
        </is>
      </c>
      <c r="K252" s="5" t="inlineStr">
        <is>
          <t>ผู้จัดการซ่อมบำรุง (maint.mgr)</t>
        </is>
      </c>
      <c r="L252" s="5" t="n"/>
      <c r="M252" s="10" t="inlineStr">
        <is>
          <t>ยังไม่ทดสอบ</t>
        </is>
      </c>
      <c r="N252" s="5" t="n"/>
      <c r="O252" s="18" t="n"/>
      <c r="P252" s="5" t="inlineStr">
        <is>
          <t>ฟิลด์จากระบบเดิม — ตรวจว่ามีใน mockup</t>
        </is>
      </c>
      <c r="Q252" s="5" t="inlineStr">
        <is>
          <t>1a4e5713</t>
        </is>
      </c>
    </row>
    <row r="253" ht="76.5" customHeight="1">
      <c r="A253" s="10" t="inlineStr">
        <is>
          <t>UAT-WO-010</t>
        </is>
      </c>
      <c r="B253" s="5" t="inlineStr">
        <is>
          <t>ใบสั่งงาน (Work Orders)</t>
        </is>
      </c>
      <c r="C253" s="5" t="inlineStr">
        <is>
          <t>ใบสั่งงาน (WO)</t>
        </is>
      </c>
      <c r="D253" s="5" t="inlineStr">
        <is>
          <t>เพิ่มฟิลด์เพิ่มเติม (Custom Field) ในฟอร์มสร้างใบสั่งงาน</t>
        </is>
      </c>
      <c r="E253" s="10" t="inlineStr">
        <is>
          <t>Functional</t>
        </is>
      </c>
      <c r="F253" s="5" t="inlineStr">
        <is>
          <t>เข้าสู่ระบบแล้ว; เปิดฟอร์มสร้างใบสั่งงาน</t>
        </is>
      </c>
      <c r="G253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253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253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253" s="10" t="inlineStr">
        <is>
          <t>Medium</t>
        </is>
      </c>
      <c r="K253" s="5" t="inlineStr">
        <is>
          <t>ผู้จัดการซ่อมบำรุง (maint.mgr)</t>
        </is>
      </c>
      <c r="L253" s="5" t="n"/>
      <c r="M253" s="10" t="inlineStr">
        <is>
          <t>ยังไม่ทดสอบ</t>
        </is>
      </c>
      <c r="N253" s="5" t="n"/>
      <c r="O253" s="18" t="n"/>
      <c r="P253" s="5" t="n"/>
      <c r="Q253" s="5" t="inlineStr">
        <is>
          <t>1a4e5713</t>
        </is>
      </c>
    </row>
    <row r="254" ht="47.5" customHeight="1">
      <c r="A254" s="10" t="inlineStr">
        <is>
          <t>UAT-WO-011</t>
        </is>
      </c>
      <c r="B254" s="5" t="inlineStr">
        <is>
          <t>ใบสั่งงาน (Work Orders)</t>
        </is>
      </c>
      <c r="C254" s="5" t="inlineStr">
        <is>
          <t>ใบสั่งงาน (WO)</t>
        </is>
      </c>
      <c r="D254" s="5" t="inlineStr">
        <is>
          <t>เปิด Drawer รายละเอียด WO และแท็บ</t>
        </is>
      </c>
      <c r="E254" s="10" t="inlineStr">
        <is>
          <t>Functional</t>
        </is>
      </c>
      <c r="F254" s="5" t="inlineStr">
        <is>
          <t>มี WO-2569-0003</t>
        </is>
      </c>
      <c r="G254" s="5" t="inlineStr">
        <is>
          <t>1. คลิกแถว WO
2. สลับแท็บ รายละเอียด / ไทม์ไลน์ / อะไหล่ &amp; ค่าใช้จ่าย / เช็คลิสต์ / ไฟล์ &amp; รูป</t>
        </is>
      </c>
      <c r="H254" s="5" t="inlineStr">
        <is>
          <t>-</t>
        </is>
      </c>
      <c r="I254" s="5" t="inlineStr">
        <is>
          <t>แสดง step chips (แจ้ง → อนุมัติ → มอบหมาย → เริ่มซ่อม → รออะไหล่ → ตรวจรับ → ปิด) ตามสถานะ; ไทม์ไลน์มีวันเวลา พ.ศ.; ค่าใช้จ่ายแสดง ค่าแรง (ชม. × อัตรา) และอะไหล่</t>
        </is>
      </c>
      <c r="J254" s="10" t="inlineStr">
        <is>
          <t>High</t>
        </is>
      </c>
      <c r="K254" s="5" t="inlineStr">
        <is>
          <t>ผู้จัดการซ่อมบำรุง (maint.mgr)</t>
        </is>
      </c>
      <c r="L254" s="5" t="n"/>
      <c r="M254" s="10" t="inlineStr">
        <is>
          <t>ยังไม่ทดสอบ</t>
        </is>
      </c>
      <c r="N254" s="5" t="n"/>
      <c r="O254" s="18" t="n"/>
      <c r="P254" s="5" t="n"/>
      <c r="Q254" s="5" t="inlineStr">
        <is>
          <t>1a4e5713</t>
        </is>
      </c>
    </row>
    <row r="255" ht="62" customHeight="1">
      <c r="A255" s="10" t="inlineStr">
        <is>
          <t>UAT-WO-012</t>
        </is>
      </c>
      <c r="B255" s="5" t="inlineStr">
        <is>
          <t>ใบสั่งงาน (Work Orders)</t>
        </is>
      </c>
      <c r="C255" s="5" t="inlineStr">
        <is>
          <t>ใบสั่งงาน (WO)</t>
        </is>
      </c>
      <c r="D255" s="5" t="inlineStr">
        <is>
          <t>Workflow: มอบหมาย → เริ่มงาน → ปิดงาน</t>
        </is>
      </c>
      <c r="E255" s="10" t="inlineStr">
        <is>
          <t>Functional</t>
        </is>
      </c>
      <c r="F255" s="5" t="inlineStr">
        <is>
          <t>WO สถานะ อนุมัติแล้ว</t>
        </is>
      </c>
      <c r="G255" s="5" t="inlineStr">
        <is>
          <t>1. เปิด drawer กด "มอบหมาย" เลือกช่าง
2. ล็อกอินช่าง กด "เริ่มงาน"
3. บันทึกเช็คลิสต์และค่าแรง
4. กด "ปิดงาน"</t>
        </is>
      </c>
      <c r="H255" s="5" t="inlineStr">
        <is>
          <t>-</t>
        </is>
      </c>
      <c r="I255" s="5" t="inlineStr">
        <is>
          <t>สถานะเปลี่ยนตามลำดับพร้อม toast "WO-…: …แล้ว"; ไทม์ไลน์บันทึกทุกขั้น; ปิดงานแล้ว SLA หยุดนับ; MTTR อัปเดต</t>
        </is>
      </c>
      <c r="J255" s="10" t="inlineStr">
        <is>
          <t>High</t>
        </is>
      </c>
      <c r="K255" s="5" t="inlineStr">
        <is>
          <t>ผู้จัดการซ่อมบำรุง (maint.mgr)</t>
        </is>
      </c>
      <c r="L255" s="5" t="n"/>
      <c r="M255" s="10" t="inlineStr">
        <is>
          <t>ยังไม่ทดสอบ</t>
        </is>
      </c>
      <c r="N255" s="5" t="n"/>
      <c r="O255" s="18" t="n"/>
      <c r="P255" s="5" t="n"/>
      <c r="Q255" s="5" t="inlineStr">
        <is>
          <t>1a4e5713</t>
        </is>
      </c>
    </row>
    <row r="256" ht="47.5" customHeight="1">
      <c r="A256" s="10" t="inlineStr">
        <is>
          <t>UAT-WO-013</t>
        </is>
      </c>
      <c r="B256" s="5" t="inlineStr">
        <is>
          <t>ใบสั่งงาน (Work Orders)</t>
        </is>
      </c>
      <c r="C256" s="5" t="inlineStr">
        <is>
          <t>ใบสั่งงาน (WO)</t>
        </is>
      </c>
      <c r="D256" s="5" t="inlineStr">
        <is>
          <t>หยุดนับ SLA ขณะรออะไหล่</t>
        </is>
      </c>
      <c r="E256" s="10" t="inlineStr">
        <is>
          <t>Functional</t>
        </is>
      </c>
      <c r="F256" s="5" t="inlineStr">
        <is>
          <t>WO กำลังซ่อม</t>
        </is>
      </c>
      <c r="G256" s="5" t="inlineStr">
        <is>
          <t>1. เปลี่ยนสถานะเป็น "รออะไหล่/ผู้ขาย" ระบุสาเหตุ
2. รอ 30 นาที
3. เปลี่ยนกลับเป็น กำลังซ่อม</t>
        </is>
      </c>
      <c r="H256" s="5" t="inlineStr">
        <is>
          <t>สาเหตุ: รออะไหล่ลูกปืน 6205-2RS</t>
        </is>
      </c>
      <c r="I256" s="5" t="inlineStr">
        <is>
          <t>SLA แสดง "หยุดนับ SLA"; เวลาหยุดนับสะสมเพิ่ม 30 นาที; ครบกำหนดแก้ไขเลื่อนออกไปตามเวลาหยุด</t>
        </is>
      </c>
      <c r="J256" s="10" t="inlineStr">
        <is>
          <t>High</t>
        </is>
      </c>
      <c r="K256" s="5" t="inlineStr">
        <is>
          <t>ผู้จัดการซ่อมบำรุง (maint.mgr)</t>
        </is>
      </c>
      <c r="L256" s="5" t="n"/>
      <c r="M256" s="10" t="inlineStr">
        <is>
          <t>ยังไม่ทดสอบ</t>
        </is>
      </c>
      <c r="N256" s="5" t="n"/>
      <c r="O256" s="18" t="n"/>
      <c r="P256" s="5" t="n"/>
      <c r="Q256" s="5" t="inlineStr">
        <is>
          <t>1a4e5713</t>
        </is>
      </c>
    </row>
    <row r="257" ht="33" customHeight="1">
      <c r="A257" s="10" t="inlineStr">
        <is>
          <t>UAT-WO-014</t>
        </is>
      </c>
      <c r="B257" s="5" t="inlineStr">
        <is>
          <t>ใบสั่งงาน (Work Orders)</t>
        </is>
      </c>
      <c r="C257" s="5" t="inlineStr">
        <is>
          <t>ใบสั่งงาน (WO)</t>
        </is>
      </c>
      <c r="D257" s="5" t="inlineStr">
        <is>
          <t>SLA นับเฉพาะเวลาทำการ</t>
        </is>
      </c>
      <c r="E257" s="10" t="inlineStr">
        <is>
          <t>Functional</t>
        </is>
      </c>
      <c r="F257" s="5" t="inlineStr">
        <is>
          <t>เวลาทำการ 08:00–17:00 จ–ศ; สร้าง WO P3 วันศุกร์ 16:00</t>
        </is>
      </c>
      <c r="G257" s="5" t="inlineStr">
        <is>
          <t>1. สร้าง WO
2. ตรวจเวลาครบกำหนด</t>
        </is>
      </c>
      <c r="H257" s="5" t="inlineStr">
        <is>
          <t>-</t>
        </is>
      </c>
      <c r="I257" s="5" t="inlineStr">
        <is>
          <t>ครบกำหนดคำนวณข้ามวันเสาร์-อาทิตย์และวันหยุดในปฏิทิน</t>
        </is>
      </c>
      <c r="J257" s="10" t="inlineStr">
        <is>
          <t>High</t>
        </is>
      </c>
      <c r="K257" s="5" t="inlineStr">
        <is>
          <t>ผู้จัดการซ่อมบำรุง (maint.mgr)</t>
        </is>
      </c>
      <c r="L257" s="5" t="n"/>
      <c r="M257" s="10" t="inlineStr">
        <is>
          <t>ยังไม่ทดสอบ</t>
        </is>
      </c>
      <c r="N257" s="5" t="n"/>
      <c r="O257" s="18" t="n"/>
      <c r="P257" s="5" t="n"/>
      <c r="Q257" s="5" t="inlineStr">
        <is>
          <t>1a4e5713</t>
        </is>
      </c>
    </row>
    <row r="258" ht="33" customHeight="1">
      <c r="A258" s="10" t="inlineStr">
        <is>
          <t>UAT-WO-015</t>
        </is>
      </c>
      <c r="B258" s="5" t="inlineStr">
        <is>
          <t>ใบสั่งงาน (Work Orders)</t>
        </is>
      </c>
      <c r="C258" s="5" t="inlineStr">
        <is>
          <t>ใบสั่งงาน (WO)</t>
        </is>
      </c>
      <c r="D258" s="5" t="inlineStr">
        <is>
          <t>การแสดง SLA countdown</t>
        </is>
      </c>
      <c r="E258" s="10" t="inlineStr">
        <is>
          <t>UI</t>
        </is>
      </c>
      <c r="F258" s="5" t="inlineStr">
        <is>
          <t>มี WO หลายสถานะ SLA</t>
        </is>
      </c>
      <c r="G258" s="5" t="inlineStr">
        <is>
          <t>1. ตรวจคอลัมน์ SLA</t>
        </is>
      </c>
      <c r="H258" s="5" t="inlineStr">
        <is>
          <t>-</t>
        </is>
      </c>
      <c r="I258" s="5" t="inlineStr">
        <is>
          <t>ทัน SLA สีเขียว "เหลือ x ชม. y น."; เกินแสดง "เกิน n วัน m ชม." สีแดง; ยังไม่มอบหมายแสดง "— ยังไม่มอบหมาย"</t>
        </is>
      </c>
      <c r="J258" s="10" t="inlineStr">
        <is>
          <t>Medium</t>
        </is>
      </c>
      <c r="K258" s="5" t="inlineStr">
        <is>
          <t>ผู้จัดการซ่อมบำรุง (maint.mgr)</t>
        </is>
      </c>
      <c r="L258" s="5" t="n"/>
      <c r="M258" s="10" t="inlineStr">
        <is>
          <t>ยังไม่ทดสอบ</t>
        </is>
      </c>
      <c r="N258" s="5" t="n"/>
      <c r="O258" s="18" t="n"/>
      <c r="P258" s="5" t="n"/>
      <c r="Q258" s="5" t="inlineStr">
        <is>
          <t>1a4e5713</t>
        </is>
      </c>
    </row>
    <row r="259" ht="33" customHeight="1">
      <c r="A259" s="10" t="inlineStr">
        <is>
          <t>UAT-WO-016</t>
        </is>
      </c>
      <c r="B259" s="5" t="inlineStr">
        <is>
          <t>ใบสั่งงาน (Work Orders)</t>
        </is>
      </c>
      <c r="C259" s="5" t="inlineStr">
        <is>
          <t>ใบสั่งงาน (WO)</t>
        </is>
      </c>
      <c r="D259" s="5" t="inlineStr">
        <is>
          <t>ยกระดับอัตโนมัติเมื่อเกิน SLA</t>
        </is>
      </c>
      <c r="E259" s="10" t="inlineStr">
        <is>
          <t>Functional</t>
        </is>
      </c>
      <c r="F259" s="5" t="inlineStr">
        <is>
          <t>Cron sla_escalate ทำงาน; WO เกิน SLA</t>
        </is>
      </c>
      <c r="G259" s="5" t="inlineStr">
        <is>
          <t>1. รอรอบ cron 5 นาที
2. ตรวจแถว WO</t>
        </is>
      </c>
      <c r="H259" s="5" t="inlineStr">
        <is>
          <t>-</t>
        </is>
      </c>
      <c r="I259" s="5" t="inlineStr">
        <is>
          <t>แสดง badge "ยกระดับ n" และแจ้งเตือนผู้จัดการตามกฎ</t>
        </is>
      </c>
      <c r="J259" s="10" t="inlineStr">
        <is>
          <t>Medium</t>
        </is>
      </c>
      <c r="K259" s="5" t="inlineStr">
        <is>
          <t>ผู้จัดการซ่อมบำรุง (maint.mgr)</t>
        </is>
      </c>
      <c r="L259" s="5" t="n"/>
      <c r="M259" s="10" t="inlineStr">
        <is>
          <t>ยังไม่ทดสอบ</t>
        </is>
      </c>
      <c r="N259" s="5" t="n"/>
      <c r="O259" s="18" t="n"/>
      <c r="P259" s="5" t="n"/>
      <c r="Q259" s="5" t="inlineStr">
        <is>
          <t>1a4e5713</t>
        </is>
      </c>
    </row>
    <row r="260" ht="33" customHeight="1">
      <c r="A260" s="10" t="inlineStr">
        <is>
          <t>UAT-WO-017</t>
        </is>
      </c>
      <c r="B260" s="5" t="inlineStr">
        <is>
          <t>ใบสั่งงาน (Work Orders)</t>
        </is>
      </c>
      <c r="C260" s="5" t="inlineStr">
        <is>
          <t>ใบสั่งงาน (WO)</t>
        </is>
      </c>
      <c r="D260" s="5" t="inlineStr">
        <is>
          <t>มุมมอง Kanban และลากเปลี่ยนสถานะ</t>
        </is>
      </c>
      <c r="E260" s="10" t="inlineStr">
        <is>
          <t>Functional</t>
        </is>
      </c>
      <c r="F260" s="5" t="inlineStr">
        <is>
          <t>เข้าสู่ระบบแล้ว</t>
        </is>
      </c>
      <c r="G260" s="5" t="inlineStr">
        <is>
          <t>1. คลิก "Kanban"
2. ลากการ์ด WO จาก มอบหมายแล้ว ไป กำลังซ่อม</t>
        </is>
      </c>
      <c r="H260" s="5" t="inlineStr">
        <is>
          <t>-</t>
        </is>
      </c>
      <c r="I260" s="5" t="inlineStr">
        <is>
          <t>การ์ดย้ายคอลัมน์และสถานะอัปเดต; คอลัมน์ไฮไลต์ขณะลาก; สลับกลับ "ตาราง" เห็นสถานะใหม่</t>
        </is>
      </c>
      <c r="J260" s="10" t="inlineStr">
        <is>
          <t>Medium</t>
        </is>
      </c>
      <c r="K260" s="5" t="inlineStr">
        <is>
          <t>ผู้จัดการซ่อมบำรุง (maint.mgr)</t>
        </is>
      </c>
      <c r="L260" s="5" t="n"/>
      <c r="M260" s="10" t="inlineStr">
        <is>
          <t>ยังไม่ทดสอบ</t>
        </is>
      </c>
      <c r="N260" s="5" t="n"/>
      <c r="O260" s="18" t="n"/>
      <c r="P260" s="5" t="n"/>
      <c r="Q260" s="5" t="inlineStr">
        <is>
          <t>1a4e5713</t>
        </is>
      </c>
    </row>
    <row r="261" ht="33" customHeight="1">
      <c r="A261" s="10" t="inlineStr">
        <is>
          <t>UAT-WO-018</t>
        </is>
      </c>
      <c r="B261" s="5" t="inlineStr">
        <is>
          <t>ใบสั่งงาน (Work Orders)</t>
        </is>
      </c>
      <c r="C261" s="5" t="inlineStr">
        <is>
          <t>ใบสั่งงาน (WO)</t>
        </is>
      </c>
      <c r="D261" s="5" t="inlineStr">
        <is>
          <t>ยกเลิกใบสั่งงาน</t>
        </is>
      </c>
      <c r="E261" s="10" t="inlineStr">
        <is>
          <t>Functional</t>
        </is>
      </c>
      <c r="F261" s="5" t="inlineStr">
        <is>
          <t>มีสิทธิ์ ยกเลิกงาน; WO ยังไม่ปิด</t>
        </is>
      </c>
      <c r="G261" s="5" t="inlineStr">
        <is>
          <t>1. เปิด drawer กด "ยกเลิก"
2. ระบุเหตุผล</t>
        </is>
      </c>
      <c r="H261" s="5" t="inlineStr">
        <is>
          <t>-</t>
        </is>
      </c>
      <c r="I261" s="5" t="inlineStr">
        <is>
          <t>สถานะ ยกเลิก; ออกจากรายการงานเปิด; เหตุผลบันทึกในไทม์ไลน์</t>
        </is>
      </c>
      <c r="J261" s="10" t="inlineStr">
        <is>
          <t>Medium</t>
        </is>
      </c>
      <c r="K261" s="5" t="inlineStr">
        <is>
          <t>ผู้จัดการซ่อมบำรุง (maint.mgr)</t>
        </is>
      </c>
      <c r="L261" s="5" t="n"/>
      <c r="M261" s="10" t="inlineStr">
        <is>
          <t>ยังไม่ทดสอบ</t>
        </is>
      </c>
      <c r="N261" s="5" t="n"/>
      <c r="O261" s="18" t="n"/>
      <c r="P261" s="5" t="n"/>
      <c r="Q261" s="5" t="inlineStr">
        <is>
          <t>1a4e5713</t>
        </is>
      </c>
    </row>
    <row r="262" ht="33" customHeight="1">
      <c r="A262" s="10" t="inlineStr">
        <is>
          <t>UAT-WO-019</t>
        </is>
      </c>
      <c r="B262" s="5" t="inlineStr">
        <is>
          <t>ใบสั่งงาน (Work Orders)</t>
        </is>
      </c>
      <c r="C262" s="5" t="inlineStr">
        <is>
          <t>ใบสั่งงาน (WO)</t>
        </is>
      </c>
      <c r="D262" s="5" t="inlineStr">
        <is>
          <t>ช่างเห็นเฉพาะงานของตน (ไซต์ของตน)</t>
        </is>
      </c>
      <c r="E262" s="10" t="inlineStr">
        <is>
          <t>Permission</t>
        </is>
      </c>
      <c r="F262" s="5" t="inlineStr">
        <is>
          <t>ล็อกอิน somchai (ไม่มีสิทธิ์ ดูใบสั่งงานทั้งหมด)</t>
        </is>
      </c>
      <c r="G262" s="5" t="inlineStr">
        <is>
          <t>1. เปิดหน้าใบสั่งงาน</t>
        </is>
      </c>
      <c r="H262" s="5" t="inlineStr">
        <is>
          <t>-</t>
        </is>
      </c>
      <c r="I262" s="5" t="inlineStr">
        <is>
          <t>เห็นเฉพาะ WO ไซต์ตน/ที่ได้รับมอบหมาย; ไม่มีปุ่ม มอบหมาย/อนุมัติ</t>
        </is>
      </c>
      <c r="J262" s="10" t="inlineStr">
        <is>
          <t>High</t>
        </is>
      </c>
      <c r="K262" s="5" t="inlineStr">
        <is>
          <t>ช่างซ่อมบำรุง (somchai)</t>
        </is>
      </c>
      <c r="L262" s="5" t="n"/>
      <c r="M262" s="10" t="inlineStr">
        <is>
          <t>ยังไม่ทดสอบ</t>
        </is>
      </c>
      <c r="N262" s="5" t="n"/>
      <c r="O262" s="18" t="n"/>
      <c r="P262" s="5" t="n"/>
      <c r="Q262" s="5" t="inlineStr">
        <is>
          <t>1a4e5713</t>
        </is>
      </c>
    </row>
    <row r="263" ht="18.5" customHeight="1">
      <c r="A263" s="10" t="inlineStr">
        <is>
          <t>UAT-WO-020</t>
        </is>
      </c>
      <c r="B263" s="5" t="inlineStr">
        <is>
          <t>ใบสั่งงาน (Work Orders)</t>
        </is>
      </c>
      <c r="C263" s="5" t="inlineStr">
        <is>
          <t>ใบสั่งงาน (WO)</t>
        </is>
      </c>
      <c r="D263" s="5" t="inlineStr">
        <is>
          <t>ช่างไม่สามารถอนุมัติหรือมอบหมาย</t>
        </is>
      </c>
      <c r="E263" s="10" t="inlineStr">
        <is>
          <t>Permission</t>
        </is>
      </c>
      <c r="F263" s="5" t="inlineStr">
        <is>
          <t>ล็อกอินเป็นช่าง</t>
        </is>
      </c>
      <c r="G263" s="5" t="inlineStr">
        <is>
          <t>1. เปิด WO สถานะ รออนุมัติ</t>
        </is>
      </c>
      <c r="H263" s="5" t="inlineStr">
        <is>
          <t>-</t>
        </is>
      </c>
      <c r="I263" s="5" t="inlineStr">
        <is>
          <t>ไม่มีปุ่มอนุมัติ/มอบหมาย; เรียก API โดยตรงได้ 403</t>
        </is>
      </c>
      <c r="J263" s="10" t="inlineStr">
        <is>
          <t>High</t>
        </is>
      </c>
      <c r="K263" s="5" t="inlineStr">
        <is>
          <t>ช่างซ่อมบำรุง (somchai)</t>
        </is>
      </c>
      <c r="L263" s="5" t="n"/>
      <c r="M263" s="10" t="inlineStr">
        <is>
          <t>ยังไม่ทดสอบ</t>
        </is>
      </c>
      <c r="N263" s="5" t="n"/>
      <c r="O263" s="18" t="n"/>
      <c r="P263" s="5" t="n"/>
      <c r="Q263" s="5" t="inlineStr">
        <is>
          <t>1a4e5713</t>
        </is>
      </c>
    </row>
    <row r="264" ht="18.5" customHeight="1">
      <c r="A264" s="10" t="inlineStr">
        <is>
          <t>UAT-WO-021</t>
        </is>
      </c>
      <c r="B264" s="5" t="inlineStr">
        <is>
          <t>ใบสั่งงาน (Work Orders)</t>
        </is>
      </c>
      <c r="C264" s="5" t="inlineStr">
        <is>
          <t>ใบสั่งงาน (WO)</t>
        </is>
      </c>
      <c r="D264" s="5" t="inlineStr">
        <is>
          <t>ปิดงานโดยไม่กรอกเช็คลิสต์บังคับ</t>
        </is>
      </c>
      <c r="E264" s="10" t="inlineStr">
        <is>
          <t>Negative</t>
        </is>
      </c>
      <c r="F264" s="5" t="inlineStr">
        <is>
          <t>WO มีเช็คลิสต์บังคับยังไม่ครบ</t>
        </is>
      </c>
      <c r="G264" s="5" t="inlineStr">
        <is>
          <t>1. กด "ปิดงาน"</t>
        </is>
      </c>
      <c r="H264" s="5" t="inlineStr">
        <is>
          <t>-</t>
        </is>
      </c>
      <c r="I264" s="5" t="inlineStr">
        <is>
          <t>ระบบแจ้งให้กรอกเช็คลิสต์ให้ครบก่อนปิด</t>
        </is>
      </c>
      <c r="J264" s="10" t="inlineStr">
        <is>
          <t>Medium</t>
        </is>
      </c>
      <c r="K264" s="5" t="inlineStr">
        <is>
          <t>ช่างซ่อมบำรุง (somchai)</t>
        </is>
      </c>
      <c r="L264" s="5" t="n"/>
      <c r="M264" s="10" t="inlineStr">
        <is>
          <t>ยังไม่ทดสอบ</t>
        </is>
      </c>
      <c r="N264" s="5" t="n"/>
      <c r="O264" s="18" t="n"/>
      <c r="P264" s="5" t="n"/>
      <c r="Q264" s="5" t="inlineStr">
        <is>
          <t>1a4e5713</t>
        </is>
      </c>
    </row>
    <row r="265" ht="33" customHeight="1">
      <c r="A265" s="10" t="inlineStr">
        <is>
          <t>UAT-WO-022</t>
        </is>
      </c>
      <c r="B265" s="5" t="inlineStr">
        <is>
          <t>ใบสั่งงาน (Work Orders)</t>
        </is>
      </c>
      <c r="C265" s="5" t="inlineStr">
        <is>
          <t>ใบสั่งงาน (WO)</t>
        </is>
      </c>
      <c r="D265" s="5" t="inlineStr">
        <is>
          <t>บันทึกอะไหล่ใน WO ตัดสต็อก</t>
        </is>
      </c>
      <c r="E265" s="10" t="inlineStr">
        <is>
          <t>Functional</t>
        </is>
      </c>
      <c r="F265" s="5" t="inlineStr">
        <is>
          <t>WO กำลังซ่อม; ลูกปืน 6205-2RS มี 3 ตัวที่ WH-SKN</t>
        </is>
      </c>
      <c r="G265" s="5" t="inlineStr">
        <is>
          <t>1. แท็บ อะไหล่ &amp; ค่าใช้จ่าย เพิ่มอะไหล่ 2 ตัว
2. บันทึก</t>
        </is>
      </c>
      <c r="H265" s="5" t="inlineStr">
        <is>
          <t>SP-BRG-6205 × 2</t>
        </is>
      </c>
      <c r="I265" s="5" t="inlineStr">
        <is>
          <t>ยอดคงเหลือคลังลด 2; ต้นทุนอะไหล่ใน WO = 2 × ต้นทุนเฉลี่ย; รายการเคลื่อนไหวคลัง "เบิก WO" อ้างอิง WO</t>
        </is>
      </c>
      <c r="J265" s="10" t="inlineStr">
        <is>
          <t>High</t>
        </is>
      </c>
      <c r="K265" s="5" t="inlineStr">
        <is>
          <t>ช่างซ่อมบำรุง (somchai)</t>
        </is>
      </c>
      <c r="L265" s="5" t="n"/>
      <c r="M265" s="10" t="inlineStr">
        <is>
          <t>ยังไม่ทดสอบ</t>
        </is>
      </c>
      <c r="N265" s="5" t="n"/>
      <c r="O265" s="18" t="n"/>
      <c r="P265" s="5" t="n"/>
      <c r="Q265" s="5" t="inlineStr">
        <is>
          <t>1a4e5713</t>
        </is>
      </c>
    </row>
    <row r="266" ht="18.5" customHeight="1">
      <c r="A266" s="10" t="inlineStr">
        <is>
          <t>UAT-WO-023</t>
        </is>
      </c>
      <c r="B266" s="5" t="inlineStr">
        <is>
          <t>ใบสั่งงาน (Work Orders)</t>
        </is>
      </c>
      <c r="C266" s="5" t="inlineStr">
        <is>
          <t>ใบสั่งงาน (WO)</t>
        </is>
      </c>
      <c r="D266" s="5" t="inlineStr">
        <is>
          <t>แนบรูปก่อน/หลังซ่อม</t>
        </is>
      </c>
      <c r="E266" s="10" t="inlineStr">
        <is>
          <t>Functional</t>
        </is>
      </c>
      <c r="F266" s="5" t="inlineStr">
        <is>
          <t>WO กำลังซ่อม</t>
        </is>
      </c>
      <c r="G266" s="5" t="inlineStr">
        <is>
          <t>1. แท็บ ไฟล์ &amp; รูป อัปโหลดรูปก่อนซ่อม/หลังซ่อม</t>
        </is>
      </c>
      <c r="H266" s="5" t="inlineStr">
        <is>
          <t>รูปก่อนซ่อม.jpg, รูปหลังซ่อม.jpg</t>
        </is>
      </c>
      <c r="I266" s="5" t="inlineStr">
        <is>
          <t>รูปแสดงในแท็บและบันทึกเข้า DAM โฟลเดอร์รูปถ่ายงานซ่อม</t>
        </is>
      </c>
      <c r="J266" s="10" t="inlineStr">
        <is>
          <t>Low</t>
        </is>
      </c>
      <c r="K266" s="5" t="inlineStr">
        <is>
          <t>ช่างซ่อมบำรุง (somchai)</t>
        </is>
      </c>
      <c r="L266" s="5" t="n"/>
      <c r="M266" s="10" t="inlineStr">
        <is>
          <t>ยังไม่ทดสอบ</t>
        </is>
      </c>
      <c r="N266" s="5" t="n"/>
      <c r="O266" s="18" t="n"/>
      <c r="P266" s="5" t="n"/>
      <c r="Q266" s="5" t="inlineStr">
        <is>
          <t>1a4e5713</t>
        </is>
      </c>
    </row>
    <row r="267" ht="33" customHeight="1">
      <c r="A267" s="10" t="inlineStr">
        <is>
          <t>UAT-WO-024</t>
        </is>
      </c>
      <c r="B267" s="5" t="inlineStr">
        <is>
          <t>ใบสั่งงาน (Work Orders)</t>
        </is>
      </c>
      <c r="C267" s="5" t="inlineStr">
        <is>
          <t>ใบสั่งงาน (WO)</t>
        </is>
      </c>
      <c r="D267" s="5" t="inlineStr">
        <is>
          <t>ค้นหาไม่พบข้อมูล (ใบสั่งงาน (WO))</t>
        </is>
      </c>
      <c r="E267" s="10" t="inlineStr">
        <is>
          <t>Negative</t>
        </is>
      </c>
      <c r="F267" s="5" t="inlineStr">
        <is>
          <t>เข้าสู่ระบบแล้ว และอยู่ที่หน้าใบสั่งงาน (WO)</t>
        </is>
      </c>
      <c r="G267" s="5" t="inlineStr">
        <is>
          <t>1. พิมพ์คำค้นที่ไม่มีอยู่จริงในช่อง "เลขที่ / หัวข้อ / Asset Tag"
2. สังเกตตาราง/รายการ</t>
        </is>
      </c>
      <c r="H267" s="5" t="inlineStr">
        <is>
          <t>คำค้น: ZZZ-NOTFOUND-999</t>
        </is>
      </c>
      <c r="I267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67" s="10" t="inlineStr">
        <is>
          <t>Low</t>
        </is>
      </c>
      <c r="K267" s="5" t="inlineStr">
        <is>
          <t>ผู้ดูแลระบบสูงสุด (admin)</t>
        </is>
      </c>
      <c r="L267" s="5" t="n"/>
      <c r="M267" s="10" t="inlineStr">
        <is>
          <t>ยังไม่ทดสอบ</t>
        </is>
      </c>
      <c r="N267" s="5" t="n"/>
      <c r="O267" s="18" t="n"/>
      <c r="P267" s="5" t="n"/>
      <c r="Q267" s="5" t="inlineStr">
        <is>
          <t>1a4e5713</t>
        </is>
      </c>
    </row>
    <row r="268" ht="47.5" customHeight="1">
      <c r="A268" s="10" t="inlineStr">
        <is>
          <t>UAT-WO-025</t>
        </is>
      </c>
      <c r="B268" s="5" t="inlineStr">
        <is>
          <t>ใบสั่งงาน (Work Orders)</t>
        </is>
      </c>
      <c r="C268" s="5" t="inlineStr">
        <is>
          <t>ใบสั่งงาน (WO)</t>
        </is>
      </c>
      <c r="D268" s="5" t="inlineStr">
        <is>
          <t>ค้นหาด้วยคำค้นที่มีอยู่จริง (ใบสั่งงาน (WO))</t>
        </is>
      </c>
      <c r="E268" s="10" t="inlineStr">
        <is>
          <t>Functional</t>
        </is>
      </c>
      <c r="F268" s="5" t="inlineStr">
        <is>
          <t>เข้าสู่ระบบแล้ว และอยู่ที่หน้าใบสั่งงาน (WO)</t>
        </is>
      </c>
      <c r="G268" s="5" t="inlineStr">
        <is>
          <t>1. พิมพ์คำค้นในช่อง "เลขที่ / หัวข้อ / Asset Tag"
2. ตรวจรายการที่แสดง
3. ล้างคำค้น</t>
        </is>
      </c>
      <c r="H268" s="5" t="inlineStr">
        <is>
          <t>คำค้น: WO-2569-0003</t>
        </is>
      </c>
      <c r="I268" s="5" t="inlineStr">
        <is>
          <t>แสดงเฉพาะรายการที่ตรงกับคำค้น (WO-2569-0003 สายพานลำเลียง); เมื่อล้างคำค้นรายการกลับมาครบ</t>
        </is>
      </c>
      <c r="J268" s="10" t="inlineStr">
        <is>
          <t>Medium</t>
        </is>
      </c>
      <c r="K268" s="5" t="inlineStr">
        <is>
          <t>ผู้ดูแลระบบสูงสุด (admin)</t>
        </is>
      </c>
      <c r="L268" s="5" t="n"/>
      <c r="M268" s="10" t="inlineStr">
        <is>
          <t>ยังไม่ทดสอบ</t>
        </is>
      </c>
      <c r="N268" s="5" t="n"/>
      <c r="O268" s="18" t="n"/>
      <c r="P268" s="5" t="n"/>
      <c r="Q268" s="5" t="inlineStr">
        <is>
          <t>1a4e5713</t>
        </is>
      </c>
    </row>
    <row r="269" ht="62" customHeight="1">
      <c r="A269" s="10" t="inlineStr">
        <is>
          <t>UAT-WO-026</t>
        </is>
      </c>
      <c r="B269" s="5" t="inlineStr">
        <is>
          <t>ใบสั่งงาน (Work Orders)</t>
        </is>
      </c>
      <c r="C269" s="5" t="inlineStr">
        <is>
          <t>ใบสั่งงาน (WO)</t>
        </is>
      </c>
      <c r="D269" s="5" t="inlineStr">
        <is>
          <t>แสดงผลบนมือถือ 375px (ใบสั่งงาน (WO))</t>
        </is>
      </c>
      <c r="E269" s="10" t="inlineStr">
        <is>
          <t>Responsive</t>
        </is>
      </c>
      <c r="F269" s="5" t="inlineStr">
        <is>
          <t>เข้าสู่ระบบแล้ว; เปิด DevTools โหมดอุปกรณ์ iPhone SE/375×667</t>
        </is>
      </c>
      <c r="G269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69" s="5" t="inlineStr">
        <is>
          <t>ความกว้าง 375px</t>
        </is>
      </c>
      <c r="I269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เต็มจอและปิดได้; ผู้จัดการซ่อมบำรุง (maint.mgr)</t>
        </is>
      </c>
      <c r="J269" s="10" t="inlineStr">
        <is>
          <t>Medium</t>
        </is>
      </c>
      <c r="K269" s="5" t="inlineStr">
        <is>
          <t>ผู้ดูแลระบบสูงสุด (admin)</t>
        </is>
      </c>
      <c r="L269" s="5" t="n"/>
      <c r="M269" s="10" t="inlineStr">
        <is>
          <t>ยังไม่ทดสอบ</t>
        </is>
      </c>
      <c r="N269" s="5" t="n"/>
      <c r="O269" s="18" t="n"/>
      <c r="P269" s="5" t="n"/>
      <c r="Q269" s="5" t="inlineStr">
        <is>
          <t>1a4e5713</t>
        </is>
      </c>
    </row>
    <row r="270" ht="62" customHeight="1">
      <c r="A270" s="10" t="inlineStr">
        <is>
          <t>UAT-WO-027</t>
        </is>
      </c>
      <c r="B270" s="5" t="inlineStr">
        <is>
          <t>ใบสั่งงาน (Work Orders)</t>
        </is>
      </c>
      <c r="C270" s="5" t="inlineStr">
        <is>
          <t>ใบสั่งงาน (WO)</t>
        </is>
      </c>
      <c r="D270" s="5" t="inlineStr">
        <is>
          <t>แสดงผลบน Desktop 1920px และความอ่านง่ายธีมมืด (ใบสั่งงาน (WO))</t>
        </is>
      </c>
      <c r="E270" s="10" t="inlineStr">
        <is>
          <t>UI</t>
        </is>
      </c>
      <c r="F270" s="5" t="inlineStr">
        <is>
          <t>เข้าสู่ระบบแล้ว; หน้าจอ 1920×1080</t>
        </is>
      </c>
      <c r="G270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70" s="5" t="inlineStr">
        <is>
          <t>ความกว้าง 1920px</t>
        </is>
      </c>
      <c r="I270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70" s="10" t="inlineStr">
        <is>
          <t>Low</t>
        </is>
      </c>
      <c r="K270" s="5" t="inlineStr">
        <is>
          <t>ผู้ดูแลระบบสูงสุด (admin)</t>
        </is>
      </c>
      <c r="L270" s="5" t="n"/>
      <c r="M270" s="10" t="inlineStr">
        <is>
          <t>ยังไม่ทดสอบ</t>
        </is>
      </c>
      <c r="N270" s="5" t="n"/>
      <c r="O270" s="18" t="n"/>
      <c r="P270" s="5" t="n"/>
      <c r="Q270" s="5" t="inlineStr">
        <is>
          <t>1a4e5713</t>
        </is>
      </c>
    </row>
    <row r="271" ht="47.5" customHeight="1">
      <c r="A271" s="10" t="inlineStr">
        <is>
          <t>UAT-RR-001</t>
        </is>
      </c>
      <c r="B271" s="5" t="inlineStr">
        <is>
          <t>ใบแจ้งซ่อม (Repair Requests)</t>
        </is>
      </c>
      <c r="C271" s="5" t="inlineStr">
        <is>
          <t>ใบแจ้งซ่อม</t>
        </is>
      </c>
      <c r="D271" s="5" t="inlineStr">
        <is>
          <t>KPI และรายการใบแจ้งซ่อม</t>
        </is>
      </c>
      <c r="E271" s="10" t="inlineStr">
        <is>
          <t>UI</t>
        </is>
      </c>
      <c r="F271" s="5" t="inlineStr">
        <is>
          <t>เข้าสู่ระบบแล้ว</t>
        </is>
      </c>
      <c r="G271" s="5" t="inlineStr">
        <is>
          <t>1. เปิดหน้าใบแจ้งซ่อม</t>
        </is>
      </c>
      <c r="H271" s="5" t="inlineStr">
        <is>
          <t>-</t>
        </is>
      </c>
      <c r="I271" s="5" t="inlineStr">
        <is>
          <t>KPI รอคัดกรอง, ด่วน/เครื่องหยุด, เปิดใบสั่งงาน 30 วัน; ตาราง เลขที่ (วันเวลา พ.ศ. + ช่องทาง), อาการ/ทรัพย์สิน, ความเร่งด่วน, ผู้แจ้ง, สถานะ, การดำเนินการ</t>
        </is>
      </c>
      <c r="J271" s="10" t="inlineStr">
        <is>
          <t>Medium</t>
        </is>
      </c>
      <c r="K271" s="5" t="inlineStr">
        <is>
          <t>ผู้จัดการซ่อมบำรุง (maint.mgr)</t>
        </is>
      </c>
      <c r="L271" s="5" t="n"/>
      <c r="M271" s="10" t="inlineStr">
        <is>
          <t>ยังไม่ทดสอบ</t>
        </is>
      </c>
      <c r="N271" s="5" t="n"/>
      <c r="O271" s="18" t="n"/>
      <c r="P271" s="5" t="n"/>
      <c r="Q271" s="5" t="inlineStr">
        <is>
          <t>9f6c0f16</t>
        </is>
      </c>
    </row>
    <row r="272" ht="62" customHeight="1">
      <c r="A272" s="10" t="inlineStr">
        <is>
          <t>UAT-RR-002</t>
        </is>
      </c>
      <c r="B272" s="5" t="inlineStr">
        <is>
          <t>ใบแจ้งซ่อม (Repair Requests)</t>
        </is>
      </c>
      <c r="C272" s="5" t="inlineStr">
        <is>
          <t>ใบแจ้งซ่อม</t>
        </is>
      </c>
      <c r="D272" s="5" t="inlineStr">
        <is>
          <t>แจ้งซ่อม Wizard 3 ขั้น (Happy path)</t>
        </is>
      </c>
      <c r="E272" s="10" t="inlineStr">
        <is>
          <t>Functional</t>
        </is>
      </c>
      <c r="F272" s="5" t="inlineStr">
        <is>
          <t>ผู้ใช้ทั่วไปล็อกอิน</t>
        </is>
      </c>
      <c r="G272" s="5" t="inlineStr">
        <is>
          <t>1. คลิก "แจ้งซ่อม"
2. ขั้น 1/3 เลือกหมวด (แอร์)
3. ขั้น 2/3 เลือกทรัพย์สิน กรอกอาการ ความเร่งด่วน แนบรูป
4. ขั้น 3/3 ตรวจสรุป กด "ยืนยันแจ้งซ่อม"</t>
        </is>
      </c>
      <c r="H272" s="5" t="inlineStr">
        <is>
          <t>หมวด แอร์; ทรัพย์สิน AC-MR3-01; อาการ: แอร์ไม่เย็น มีน้ำหยด; ความเร่งด่วน สูง; รูป 2 รูป</t>
        </is>
      </c>
      <c r="I272" s="5" t="inlineStr">
        <is>
          <t>แสดง "แจ้งซ่อมสำเร็จ" พร้อมเลขที่; ใบแจ้งใหม่สถานะ "ใหม่/รอคัดกรอง" ช่องทาง เว็บ; ผู้จัดการซ่อมบำรุงได้รับแจ้งเตือน</t>
        </is>
      </c>
      <c r="J272" s="10" t="inlineStr">
        <is>
          <t>High</t>
        </is>
      </c>
      <c r="K272" s="5" t="inlineStr">
        <is>
          <t>ผู้แจ้งซ่อม/ผู้ใช้งานทั่วไป (user)</t>
        </is>
      </c>
      <c r="L272" s="5" t="n"/>
      <c r="M272" s="10" t="inlineStr">
        <is>
          <t>ยังไม่ทดสอบ</t>
        </is>
      </c>
      <c r="N272" s="5" t="n"/>
      <c r="O272" s="18" t="n"/>
      <c r="P272" s="5" t="n"/>
      <c r="Q272" s="5" t="inlineStr">
        <is>
          <t>9f6c0f16</t>
        </is>
      </c>
    </row>
    <row r="273" ht="33" customHeight="1">
      <c r="A273" s="10" t="inlineStr">
        <is>
          <t>UAT-RR-003</t>
        </is>
      </c>
      <c r="B273" s="5" t="inlineStr">
        <is>
          <t>ใบแจ้งซ่อม (Repair Requests)</t>
        </is>
      </c>
      <c r="C273" s="5" t="inlineStr">
        <is>
          <t>ใบแจ้งซ่อม</t>
        </is>
      </c>
      <c r="D273" s="5" t="inlineStr">
        <is>
          <t>Wizard: ปุ่มถัดไปปิดจนกว่าจะเลือกหมวด</t>
        </is>
      </c>
      <c r="E273" s="10" t="inlineStr">
        <is>
          <t>Validation</t>
        </is>
      </c>
      <c r="F273" s="5" t="inlineStr">
        <is>
          <t>เปิด wizard แจ้งซ่อม</t>
        </is>
      </c>
      <c r="G273" s="5" t="inlineStr">
        <is>
          <t>1. ไม่เลือกหมวด
2. สังเกตปุ่ม ถัดไป</t>
        </is>
      </c>
      <c r="H273" s="5" t="inlineStr">
        <is>
          <t>-</t>
        </is>
      </c>
      <c r="I273" s="5" t="inlineStr">
        <is>
          <t>ปุ่ม "ถัดไป" disabled จนกว่าเลือกหมวด</t>
        </is>
      </c>
      <c r="J273" s="10" t="inlineStr">
        <is>
          <t>Medium</t>
        </is>
      </c>
      <c r="K273" s="5" t="inlineStr">
        <is>
          <t>ผู้แจ้งซ่อม/ผู้ใช้งานทั่วไป (user)</t>
        </is>
      </c>
      <c r="L273" s="5" t="n"/>
      <c r="M273" s="10" t="inlineStr">
        <is>
          <t>ยังไม่ทดสอบ</t>
        </is>
      </c>
      <c r="N273" s="5" t="n"/>
      <c r="O273" s="18" t="n"/>
      <c r="P273" s="5" t="n"/>
      <c r="Q273" s="5" t="inlineStr">
        <is>
          <t>9f6c0f16</t>
        </is>
      </c>
    </row>
    <row r="274" ht="33" customHeight="1">
      <c r="A274" s="10" t="inlineStr">
        <is>
          <t>UAT-RR-004</t>
        </is>
      </c>
      <c r="B274" s="5" t="inlineStr">
        <is>
          <t>ใบแจ้งซ่อม (Repair Requests)</t>
        </is>
      </c>
      <c r="C274" s="5" t="inlineStr">
        <is>
          <t>ใบแจ้งซ่อม</t>
        </is>
      </c>
      <c r="D274" s="5" t="inlineStr">
        <is>
          <t>Wizard: ไม่กรอกอาการ</t>
        </is>
      </c>
      <c r="E274" s="10" t="inlineStr">
        <is>
          <t>Validation</t>
        </is>
      </c>
      <c r="F274" s="5" t="inlineStr">
        <is>
          <t>อยู่ขั้น 2/3</t>
        </is>
      </c>
      <c r="G274" s="5" t="inlineStr">
        <is>
          <t>1. เว้นว่างอาการ
2. กด ถัดไป</t>
        </is>
      </c>
      <c r="H274" s="5" t="inlineStr">
        <is>
          <t>-</t>
        </is>
      </c>
      <c r="I274" s="5" t="inlineStr">
        <is>
          <t>แจ้งให้กรอกอาการ ไม่ไปขั้นถัดไป</t>
        </is>
      </c>
      <c r="J274" s="10" t="inlineStr">
        <is>
          <t>High</t>
        </is>
      </c>
      <c r="K274" s="5" t="inlineStr">
        <is>
          <t>ผู้แจ้งซ่อม/ผู้ใช้งานทั่วไป (user)</t>
        </is>
      </c>
      <c r="L274" s="5" t="n"/>
      <c r="M274" s="10" t="inlineStr">
        <is>
          <t>ยังไม่ทดสอบ</t>
        </is>
      </c>
      <c r="N274" s="5" t="n"/>
      <c r="O274" s="18" t="n"/>
      <c r="P274" s="5" t="n"/>
      <c r="Q274" s="5" t="inlineStr">
        <is>
          <t>9f6c0f16</t>
        </is>
      </c>
    </row>
    <row r="275" ht="33" customHeight="1">
      <c r="A275" s="10" t="inlineStr">
        <is>
          <t>UAT-RR-005</t>
        </is>
      </c>
      <c r="B275" s="5" t="inlineStr">
        <is>
          <t>ใบแจ้งซ่อม (Repair Requests)</t>
        </is>
      </c>
      <c r="C275" s="5" t="inlineStr">
        <is>
          <t>ใบแจ้งซ่อม</t>
        </is>
      </c>
      <c r="D275" s="5" t="inlineStr">
        <is>
          <t>แจ้งซ่อมด้วยการสแกน QR ทรัพย์สิน</t>
        </is>
      </c>
      <c r="E275" s="10" t="inlineStr">
        <is>
          <t>Functional</t>
        </is>
      </c>
      <c r="F275" s="5" t="inlineStr">
        <is>
          <t>เปิดบนมือถือ อนุญาตกล้อง</t>
        </is>
      </c>
      <c r="G275" s="5" t="inlineStr">
        <is>
          <t>1. ขั้น 2 กดปุ่มสแกน
2. สแกน QR บนป้าย CONV-03</t>
        </is>
      </c>
      <c r="H275" s="5" t="inlineStr">
        <is>
          <t>-</t>
        </is>
      </c>
      <c r="I275" s="5" t="inlineStr">
        <is>
          <t>แสดง "สแกนสำเร็จ: CONV-03" และเลือกทรัพย์สินอัตโนมัติ</t>
        </is>
      </c>
      <c r="J275" s="10" t="inlineStr">
        <is>
          <t>High</t>
        </is>
      </c>
      <c r="K275" s="5" t="inlineStr">
        <is>
          <t>ผู้แจ้งซ่อม/ผู้ใช้งานทั่วไป (user)</t>
        </is>
      </c>
      <c r="L275" s="5" t="n"/>
      <c r="M275" s="10" t="inlineStr">
        <is>
          <t>ยังไม่ทดสอบ</t>
        </is>
      </c>
      <c r="N275" s="5" t="n"/>
      <c r="O275" s="18" t="n"/>
      <c r="P275" s="5" t="n"/>
      <c r="Q275" s="5" t="inlineStr">
        <is>
          <t>9f6c0f16</t>
        </is>
      </c>
    </row>
    <row r="276" ht="33" customHeight="1">
      <c r="A276" s="10" t="inlineStr">
        <is>
          <t>UAT-RR-006</t>
        </is>
      </c>
      <c r="B276" s="5" t="inlineStr">
        <is>
          <t>ใบแจ้งซ่อม (Repair Requests)</t>
        </is>
      </c>
      <c r="C276" s="5" t="inlineStr">
        <is>
          <t>ใบแจ้งซ่อม</t>
        </is>
      </c>
      <c r="D276" s="5" t="inlineStr">
        <is>
          <t>แจ้งซ่อมแบบ "ไม่ระบุทรัพย์สิน"</t>
        </is>
      </c>
      <c r="E276" s="10" t="inlineStr">
        <is>
          <t>Functional</t>
        </is>
      </c>
      <c r="F276" s="5" t="inlineStr">
        <is>
          <t>อยู่ขั้น 2/3</t>
        </is>
      </c>
      <c r="G276" s="5" t="inlineStr">
        <is>
          <t>1. เลือก "ไม่ระบุทรัพย์สิน"
2. ยืนยัน</t>
        </is>
      </c>
      <c r="H276" s="5" t="inlineStr">
        <is>
          <t>อาการ: ไฟทางเดินดับ</t>
        </is>
      </c>
      <c r="I276" s="5" t="inlineStr">
        <is>
          <t>บันทึกได้; ผู้คัดกรองระบุทรัพย์สินภายหลังได้</t>
        </is>
      </c>
      <c r="J276" s="10" t="inlineStr">
        <is>
          <t>Medium</t>
        </is>
      </c>
      <c r="K276" s="5" t="inlineStr">
        <is>
          <t>ผู้แจ้งซ่อม/ผู้ใช้งานทั่วไป (user)</t>
        </is>
      </c>
      <c r="L276" s="5" t="n"/>
      <c r="M276" s="10" t="inlineStr">
        <is>
          <t>ยังไม่ทดสอบ</t>
        </is>
      </c>
      <c r="N276" s="5" t="n"/>
      <c r="O276" s="18" t="n"/>
      <c r="P276" s="5" t="n"/>
      <c r="Q276" s="5" t="inlineStr">
        <is>
          <t>9f6c0f16</t>
        </is>
      </c>
    </row>
    <row r="277" ht="76.5" customHeight="1">
      <c r="A277" s="10" t="inlineStr">
        <is>
          <t>UAT-RR-007</t>
        </is>
      </c>
      <c r="B277" s="5" t="inlineStr">
        <is>
          <t>ใบแจ้งซ่อม (Repair Requests)</t>
        </is>
      </c>
      <c r="C277" s="5" t="inlineStr">
        <is>
          <t>ใบแจ้งซ่อม</t>
        </is>
      </c>
      <c r="D277" s="5" t="inlineStr">
        <is>
          <t>เพิ่มฟิลด์เพิ่มเติม (Custom Field) ในฟอร์มแจ้งซ่อม (ขั้นรายละเอียด)</t>
        </is>
      </c>
      <c r="E277" s="10" t="inlineStr">
        <is>
          <t>Functional</t>
        </is>
      </c>
      <c r="F277" s="5" t="inlineStr">
        <is>
          <t>เข้าสู่ระบบแล้ว; เปิดฟอร์มแจ้งซ่อม (ขั้นรายละเอียด)</t>
        </is>
      </c>
      <c r="G277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277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277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277" s="10" t="inlineStr">
        <is>
          <t>Medium</t>
        </is>
      </c>
      <c r="K277" s="5" t="inlineStr">
        <is>
          <t>ผู้แจ้งซ่อม/ผู้ใช้งานทั่วไป (user)</t>
        </is>
      </c>
      <c r="L277" s="5" t="n"/>
      <c r="M277" s="10" t="inlineStr">
        <is>
          <t>ยังไม่ทดสอบ</t>
        </is>
      </c>
      <c r="N277" s="5" t="n"/>
      <c r="O277" s="18" t="n"/>
      <c r="P277" s="5" t="n"/>
      <c r="Q277" s="5" t="inlineStr">
        <is>
          <t>9f6c0f16</t>
        </is>
      </c>
    </row>
    <row r="278" ht="47.5" customHeight="1">
      <c r="A278" s="10" t="inlineStr">
        <is>
          <t>UAT-RR-008</t>
        </is>
      </c>
      <c r="B278" s="5" t="inlineStr">
        <is>
          <t>ใบแจ้งซ่อม (Repair Requests)</t>
        </is>
      </c>
      <c r="C278" s="5" t="inlineStr">
        <is>
          <t>ใบแจ้งซ่อม</t>
        </is>
      </c>
      <c r="D278" s="5" t="inlineStr">
        <is>
          <t>คัดกรองและเปิดใบสั่งงานในขั้นตอนเดียว</t>
        </is>
      </c>
      <c r="E278" s="10" t="inlineStr">
        <is>
          <t>Functional</t>
        </is>
      </c>
      <c r="F278" s="5" t="inlineStr">
        <is>
          <t>มีใบแจ้งรอคัดกรอง; ล็อกอินเป็น maint.mgr</t>
        </is>
      </c>
      <c r="G278" s="5" t="inlineStr">
        <is>
          <t>1. คลิก "เปิดใบสั่งงาน" ที่แถว
2. เลือกประเภทงาน ระดับ มอบหมายช่าง
3. กด "สร้างใบสั่งงาน"</t>
        </is>
      </c>
      <c r="H278" s="5" t="inlineStr">
        <is>
          <t>ประเภท ซ่อมแก้ไข (CM); ระดับ สูง; ช่าง สมชาย ใจดี</t>
        </is>
      </c>
      <c r="I278" s="5" t="inlineStr">
        <is>
          <t>toast "สร้าง WO-… แล้ว"; ใบแจ้งสถานะ "เปิดใบสั่งงานแล้ว" พร้อมลิงก์ WO; WO ปรากฏในหน้าใบสั่งงาน สถานะ มอบหมายแล้ว; badge WO ในเมนูเพิ่ม</t>
        </is>
      </c>
      <c r="J278" s="10" t="inlineStr">
        <is>
          <t>High</t>
        </is>
      </c>
      <c r="K278" s="5" t="inlineStr">
        <is>
          <t>ผู้จัดการซ่อมบำรุง (maint.mgr)</t>
        </is>
      </c>
      <c r="L278" s="5" t="n"/>
      <c r="M278" s="10" t="inlineStr">
        <is>
          <t>ยังไม่ทดสอบ</t>
        </is>
      </c>
      <c r="N278" s="5" t="n"/>
      <c r="O278" s="18" t="n"/>
      <c r="P278" s="5" t="n"/>
      <c r="Q278" s="5" t="inlineStr">
        <is>
          <t>9f6c0f16</t>
        </is>
      </c>
    </row>
    <row r="279" ht="33" customHeight="1">
      <c r="A279" s="10" t="inlineStr">
        <is>
          <t>UAT-RR-009</t>
        </is>
      </c>
      <c r="B279" s="5" t="inlineStr">
        <is>
          <t>ใบแจ้งซ่อม (Repair Requests)</t>
        </is>
      </c>
      <c r="C279" s="5" t="inlineStr">
        <is>
          <t>ใบแจ้งซ่อม</t>
        </is>
      </c>
      <c r="D279" s="5" t="inlineStr">
        <is>
          <t>ไม่รับเรื่อง</t>
        </is>
      </c>
      <c r="E279" s="10" t="inlineStr">
        <is>
          <t>Functional</t>
        </is>
      </c>
      <c r="F279" s="5" t="inlineStr">
        <is>
          <t>มีใบแจ้งรอคัดกรอง</t>
        </is>
      </c>
      <c r="G279" s="5" t="inlineStr">
        <is>
          <t>1. คลิก "ไม่รับ"
2. ระบุเหตุผล</t>
        </is>
      </c>
      <c r="H279" s="5" t="inlineStr">
        <is>
          <t>-</t>
        </is>
      </c>
      <c r="I279" s="5" t="inlineStr">
        <is>
          <t>toast "ไม่รับเรื่อง RQ-…"; สถานะ "ไม่รับเรื่อง"; ผู้แจ้งได้รับแจ้งเตือนพร้อมเหตุผล</t>
        </is>
      </c>
      <c r="J279" s="10" t="inlineStr">
        <is>
          <t>High</t>
        </is>
      </c>
      <c r="K279" s="5" t="inlineStr">
        <is>
          <t>ผู้จัดการซ่อมบำรุง (maint.mgr)</t>
        </is>
      </c>
      <c r="L279" s="5" t="n"/>
      <c r="M279" s="10" t="inlineStr">
        <is>
          <t>ยังไม่ทดสอบ</t>
        </is>
      </c>
      <c r="N279" s="5" t="n"/>
      <c r="O279" s="18" t="n"/>
      <c r="P279" s="5" t="n"/>
      <c r="Q279" s="5" t="inlineStr">
        <is>
          <t>9f6c0f16</t>
        </is>
      </c>
    </row>
    <row r="280" ht="33" customHeight="1">
      <c r="A280" s="10" t="inlineStr">
        <is>
          <t>UAT-RR-010</t>
        </is>
      </c>
      <c r="B280" s="5" t="inlineStr">
        <is>
          <t>ใบแจ้งซ่อม (Repair Requests)</t>
        </is>
      </c>
      <c r="C280" s="5" t="inlineStr">
        <is>
          <t>ใบแจ้งซ่อม</t>
        </is>
      </c>
      <c r="D280" s="5" t="inlineStr">
        <is>
          <t>กรองสถานะ (ค่าเริ่มต้น รอคัดกรอง)</t>
        </is>
      </c>
      <c r="E280" s="10" t="inlineStr">
        <is>
          <t>Functional</t>
        </is>
      </c>
      <c r="F280" s="5" t="inlineStr">
        <is>
          <t>เข้าสู่ระบบแล้ว</t>
        </is>
      </c>
      <c r="G280" s="5" t="inlineStr">
        <is>
          <t>1. ตรวจค่าเริ่มต้น
2. เลือกแต่ละสถานะ</t>
        </is>
      </c>
      <c r="H280" s="5" t="inlineStr">
        <is>
          <t>-</t>
        </is>
      </c>
      <c r="I280" s="5" t="inlineStr">
        <is>
          <t>ตัวเลือก ทุกสถานะ/รอคัดกรอง/ใหม่/กำลังคัดกรอง/เปิดใบสั่งงานแล้ว/ไม่รับเรื่อง/ยกเลิก กรองถูกต้อง</t>
        </is>
      </c>
      <c r="J280" s="10" t="inlineStr">
        <is>
          <t>Medium</t>
        </is>
      </c>
      <c r="K280" s="5" t="inlineStr">
        <is>
          <t>ผู้จัดการซ่อมบำรุง (maint.mgr)</t>
        </is>
      </c>
      <c r="L280" s="5" t="n"/>
      <c r="M280" s="10" t="inlineStr">
        <is>
          <t>ยังไม่ทดสอบ</t>
        </is>
      </c>
      <c r="N280" s="5" t="n"/>
      <c r="O280" s="18" t="n"/>
      <c r="P280" s="5" t="n"/>
      <c r="Q280" s="5" t="inlineStr">
        <is>
          <t>9f6c0f16</t>
        </is>
      </c>
    </row>
    <row r="281" ht="33" customHeight="1">
      <c r="A281" s="10" t="inlineStr">
        <is>
          <t>UAT-RR-011</t>
        </is>
      </c>
      <c r="B281" s="5" t="inlineStr">
        <is>
          <t>ใบแจ้งซ่อม (Repair Requests)</t>
        </is>
      </c>
      <c r="C281" s="5" t="inlineStr">
        <is>
          <t>ใบแจ้งซ่อม</t>
        </is>
      </c>
      <c r="D281" s="5" t="inlineStr">
        <is>
          <t>เฉพาะที่ฉันแจ้ง</t>
        </is>
      </c>
      <c r="E281" s="10" t="inlineStr">
        <is>
          <t>Functional</t>
        </is>
      </c>
      <c r="F281" s="5" t="inlineStr">
        <is>
          <t>ล็อกอินเป็นผู้แจ้งซ่อม</t>
        </is>
      </c>
      <c r="G281" s="5" t="inlineStr">
        <is>
          <t>1. ติ๊ก "เฉพาะที่ฉันแจ้ง"</t>
        </is>
      </c>
      <c r="H281" s="5" t="inlineStr">
        <is>
          <t>-</t>
        </is>
      </c>
      <c r="I281" s="5" t="inlineStr">
        <is>
          <t>แสดงเฉพาะใบแจ้งของตนเอง</t>
        </is>
      </c>
      <c r="J281" s="10" t="inlineStr">
        <is>
          <t>Medium</t>
        </is>
      </c>
      <c r="K281" s="5" t="inlineStr">
        <is>
          <t>ผู้แจ้งซ่อม/ผู้ใช้งานทั่วไป (user)</t>
        </is>
      </c>
      <c r="L281" s="5" t="n"/>
      <c r="M281" s="10" t="inlineStr">
        <is>
          <t>ยังไม่ทดสอบ</t>
        </is>
      </c>
      <c r="N281" s="5" t="n"/>
      <c r="O281" s="18" t="n"/>
      <c r="P281" s="5" t="n"/>
      <c r="Q281" s="5" t="inlineStr">
        <is>
          <t>9f6c0f16</t>
        </is>
      </c>
    </row>
    <row r="282" ht="33" customHeight="1">
      <c r="A282" s="10" t="inlineStr">
        <is>
          <t>UAT-RR-012</t>
        </is>
      </c>
      <c r="B282" s="5" t="inlineStr">
        <is>
          <t>ใบแจ้งซ่อม (Repair Requests)</t>
        </is>
      </c>
      <c r="C282" s="5" t="inlineStr">
        <is>
          <t>ใบแจ้งซ่อม</t>
        </is>
      </c>
      <c r="D282" s="5" t="inlineStr">
        <is>
          <t>ความเร่งด่วน "เครื่องหยุด" แสดงเด่น</t>
        </is>
      </c>
      <c r="E282" s="10" t="inlineStr">
        <is>
          <t>UI</t>
        </is>
      </c>
      <c r="F282" s="5" t="inlineStr">
        <is>
          <t>มีใบแจ้งความเร่งด่วน เครื่องหยุด</t>
        </is>
      </c>
      <c r="G282" s="5" t="inlineStr">
        <is>
          <t>1. ตรวจแถว CONV-03</t>
        </is>
      </c>
      <c r="H282" s="5" t="inlineStr">
        <is>
          <t>-</t>
        </is>
      </c>
      <c r="I282" s="5" t="inlineStr">
        <is>
          <t>chip สีแดง เครื่องหยุด; KPI "ด่วน/เครื่องหยุด" นับรวม; เรียงขึ้นก่อน</t>
        </is>
      </c>
      <c r="J282" s="10" t="inlineStr">
        <is>
          <t>Medium</t>
        </is>
      </c>
      <c r="K282" s="5" t="inlineStr">
        <is>
          <t>ผู้จัดการซ่อมบำรุง (maint.mgr)</t>
        </is>
      </c>
      <c r="L282" s="5" t="n"/>
      <c r="M282" s="10" t="inlineStr">
        <is>
          <t>ยังไม่ทดสอบ</t>
        </is>
      </c>
      <c r="N282" s="5" t="n"/>
      <c r="O282" s="18" t="n"/>
      <c r="P282" s="5" t="n"/>
      <c r="Q282" s="5" t="inlineStr">
        <is>
          <t>9f6c0f16</t>
        </is>
      </c>
    </row>
    <row r="283" ht="33" customHeight="1">
      <c r="A283" s="10" t="inlineStr">
        <is>
          <t>UAT-RR-013</t>
        </is>
      </c>
      <c r="B283" s="5" t="inlineStr">
        <is>
          <t>ใบแจ้งซ่อม (Repair Requests)</t>
        </is>
      </c>
      <c r="C283" s="5" t="inlineStr">
        <is>
          <t>ใบแจ้งซ่อม</t>
        </is>
      </c>
      <c r="D283" s="5" t="inlineStr">
        <is>
          <t>ผู้แจ้งซ่อมไม่มีปุ่มคัดกรอง</t>
        </is>
      </c>
      <c r="E283" s="10" t="inlineStr">
        <is>
          <t>Permission</t>
        </is>
      </c>
      <c r="F283" s="5" t="inlineStr">
        <is>
          <t>ล็อกอินเป็น user</t>
        </is>
      </c>
      <c r="G283" s="5" t="inlineStr">
        <is>
          <t>1. เปิดหน้าใบแจ้งซ่อม</t>
        </is>
      </c>
      <c r="H283" s="5" t="inlineStr">
        <is>
          <t>-</t>
        </is>
      </c>
      <c r="I283" s="5" t="inlineStr">
        <is>
          <t>ไม่มีปุ่ม เปิดใบสั่งงาน/ไม่รับ; เห็นเฉพาะใบแจ้งของตน</t>
        </is>
      </c>
      <c r="J283" s="10" t="inlineStr">
        <is>
          <t>High</t>
        </is>
      </c>
      <c r="K283" s="5" t="inlineStr">
        <is>
          <t>ผู้แจ้งซ่อม/ผู้ใช้งานทั่วไป (user)</t>
        </is>
      </c>
      <c r="L283" s="5" t="n"/>
      <c r="M283" s="10" t="inlineStr">
        <is>
          <t>ยังไม่ทดสอบ</t>
        </is>
      </c>
      <c r="N283" s="5" t="n"/>
      <c r="O283" s="18" t="n"/>
      <c r="P283" s="5" t="n"/>
      <c r="Q283" s="5" t="inlineStr">
        <is>
          <t>9f6c0f16</t>
        </is>
      </c>
    </row>
    <row r="284" ht="33" customHeight="1">
      <c r="A284" s="10" t="inlineStr">
        <is>
          <t>UAT-RR-014</t>
        </is>
      </c>
      <c r="B284" s="5" t="inlineStr">
        <is>
          <t>ใบแจ้งซ่อม (Repair Requests)</t>
        </is>
      </c>
      <c r="C284" s="5" t="inlineStr">
        <is>
          <t>ใบแจ้งซ่อม</t>
        </is>
      </c>
      <c r="D284" s="5" t="inlineStr">
        <is>
          <t>แจ้งซ่อมผ่าน LINE/Telegram/API</t>
        </is>
      </c>
      <c r="E284" s="10" t="inlineStr">
        <is>
          <t>Functional</t>
        </is>
      </c>
      <c r="F284" s="5" t="inlineStr">
        <is>
          <t>ผู้ใช้ผูกบัญชี LINE แล้ว</t>
        </is>
      </c>
      <c r="G284" s="5" t="inlineStr">
        <is>
          <t>1. ส่งข้อความแจ้งซ่อมผ่าน LINE OA
2. ตรวจหน้าใบแจ้งซ่อม</t>
        </is>
      </c>
      <c r="H284" s="5" t="inlineStr">
        <is>
          <t>-</t>
        </is>
      </c>
      <c r="I284" s="5" t="inlineStr">
        <is>
          <t>ใบแจ้งใหม่ช่องทาง LINE; ผู้แจ้ง = ผู้ผูกบัญชี</t>
        </is>
      </c>
      <c r="J284" s="10" t="inlineStr">
        <is>
          <t>Low</t>
        </is>
      </c>
      <c r="K284" s="5" t="inlineStr">
        <is>
          <t>ผู้แจ้งซ่อม/ผู้ใช้งานทั่วไป (user)</t>
        </is>
      </c>
      <c r="L284" s="5" t="n"/>
      <c r="M284" s="10" t="inlineStr">
        <is>
          <t>ยังไม่ทดสอบ</t>
        </is>
      </c>
      <c r="N284" s="5" t="n"/>
      <c r="O284" s="18" t="n"/>
      <c r="P284" s="5" t="inlineStr">
        <is>
          <t>ช่องทาง LINE/Telegram อ้างอิงระบบเดิม</t>
        </is>
      </c>
      <c r="Q284" s="5" t="inlineStr">
        <is>
          <t>9f6c0f16</t>
        </is>
      </c>
    </row>
    <row r="285" ht="33" customHeight="1">
      <c r="A285" s="10" t="inlineStr">
        <is>
          <t>UAT-RR-015</t>
        </is>
      </c>
      <c r="B285" s="5" t="inlineStr">
        <is>
          <t>ใบแจ้งซ่อม (Repair Requests)</t>
        </is>
      </c>
      <c r="C285" s="5" t="inlineStr">
        <is>
          <t>ใบแจ้งซ่อม</t>
        </is>
      </c>
      <c r="D285" s="5" t="inlineStr">
        <is>
          <t>แจ้งซ่อมซ้ำทรัพย์สินที่มี WO เปิดอยู่</t>
        </is>
      </c>
      <c r="E285" s="10" t="inlineStr">
        <is>
          <t>Negative</t>
        </is>
      </c>
      <c r="F285" s="5" t="inlineStr">
        <is>
          <t>CONV-03 มี WO เปิดอยู่</t>
        </is>
      </c>
      <c r="G285" s="5" t="inlineStr">
        <is>
          <t>1. แจ้งซ่อม CONV-03 อีกครั้ง</t>
        </is>
      </c>
      <c r="H285" s="5" t="inlineStr">
        <is>
          <t>-</t>
        </is>
      </c>
      <c r="I285" s="5" t="inlineStr">
        <is>
          <t>ระบบแจ้งเตือนว่ามีงานเปิดอยู่ (WO-…) ให้ผู้คัดกรองพิจารณารวมเรื่อง</t>
        </is>
      </c>
      <c r="J285" s="10" t="inlineStr">
        <is>
          <t>Low</t>
        </is>
      </c>
      <c r="K285" s="5" t="inlineStr">
        <is>
          <t>ผู้แจ้งซ่อม/ผู้ใช้งานทั่วไป (user)</t>
        </is>
      </c>
      <c r="L285" s="5" t="n"/>
      <c r="M285" s="10" t="inlineStr">
        <is>
          <t>ยังไม่ทดสอบ</t>
        </is>
      </c>
      <c r="N285" s="5" t="n"/>
      <c r="O285" s="18" t="n"/>
      <c r="P285" s="5" t="n"/>
      <c r="Q285" s="5" t="inlineStr">
        <is>
          <t>9f6c0f16</t>
        </is>
      </c>
    </row>
    <row r="286" ht="47.5" customHeight="1">
      <c r="A286" s="10" t="inlineStr">
        <is>
          <t>UAT-RR-016</t>
        </is>
      </c>
      <c r="B286" s="5" t="inlineStr">
        <is>
          <t>ใบแจ้งซ่อม (Repair Requests)</t>
        </is>
      </c>
      <c r="C286" s="5" t="inlineStr">
        <is>
          <t>ใบแจ้งซ่อม</t>
        </is>
      </c>
      <c r="D286" s="5" t="inlineStr">
        <is>
          <t>ค้นหาไม่พบข้อมูล (ใบแจ้งซ่อม)</t>
        </is>
      </c>
      <c r="E286" s="10" t="inlineStr">
        <is>
          <t>Negative</t>
        </is>
      </c>
      <c r="F286" s="5" t="inlineStr">
        <is>
          <t>เข้าสู่ระบบแล้ว และอยู่ที่หน้าใบแจ้งซ่อม</t>
        </is>
      </c>
      <c r="G286" s="5" t="inlineStr">
        <is>
          <t>1. พิมพ์คำค้นที่ไม่มีอยู่จริงในช่อง "ค้นหาเลขที่ อาการ ทรัพย์สิน หรือผู้แจ้ง"
2. สังเกตตาราง/รายการ</t>
        </is>
      </c>
      <c r="H286" s="5" t="inlineStr">
        <is>
          <t>คำค้น: ZZZ-NOTFOUND-999</t>
        </is>
      </c>
      <c r="I286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286" s="10" t="inlineStr">
        <is>
          <t>Low</t>
        </is>
      </c>
      <c r="K286" s="5" t="inlineStr">
        <is>
          <t>ผู้ดูแลระบบสูงสุด (admin)</t>
        </is>
      </c>
      <c r="L286" s="5" t="n"/>
      <c r="M286" s="10" t="inlineStr">
        <is>
          <t>ยังไม่ทดสอบ</t>
        </is>
      </c>
      <c r="N286" s="5" t="n"/>
      <c r="O286" s="18" t="n"/>
      <c r="P286" s="5" t="n"/>
      <c r="Q286" s="5" t="inlineStr">
        <is>
          <t>9f6c0f16</t>
        </is>
      </c>
    </row>
    <row r="287" ht="47.5" customHeight="1">
      <c r="A287" s="10" t="inlineStr">
        <is>
          <t>UAT-RR-017</t>
        </is>
      </c>
      <c r="B287" s="5" t="inlineStr">
        <is>
          <t>ใบแจ้งซ่อม (Repair Requests)</t>
        </is>
      </c>
      <c r="C287" s="5" t="inlineStr">
        <is>
          <t>ใบแจ้งซ่อม</t>
        </is>
      </c>
      <c r="D287" s="5" t="inlineStr">
        <is>
          <t>ค้นหาด้วยคำค้นที่มีอยู่จริง (ใบแจ้งซ่อม)</t>
        </is>
      </c>
      <c r="E287" s="10" t="inlineStr">
        <is>
          <t>Functional</t>
        </is>
      </c>
      <c r="F287" s="5" t="inlineStr">
        <is>
          <t>เข้าสู่ระบบแล้ว และอยู่ที่หน้าใบแจ้งซ่อม</t>
        </is>
      </c>
      <c r="G287" s="5" t="inlineStr">
        <is>
          <t>1. พิมพ์คำค้นในช่อง "ค้นหาเลขที่ อาการ ทรัพย์สิน หรือผู้แจ้ง"
2. ตรวจรายการที่แสดง
3. ล้างคำค้น</t>
        </is>
      </c>
      <c r="H287" s="5" t="inlineStr">
        <is>
          <t>คำค้น: แอร์ไม่เย็น</t>
        </is>
      </c>
      <c r="I287" s="5" t="inlineStr">
        <is>
          <t>แสดงเฉพาะรายการที่ตรงกับคำค้น (ใบแจ้ง แอร์ไม่เย็น ห้องประชุม 3); เมื่อล้างคำค้นรายการกลับมาครบ</t>
        </is>
      </c>
      <c r="J287" s="10" t="inlineStr">
        <is>
          <t>Medium</t>
        </is>
      </c>
      <c r="K287" s="5" t="inlineStr">
        <is>
          <t>ผู้ดูแลระบบสูงสุด (admin)</t>
        </is>
      </c>
      <c r="L287" s="5" t="n"/>
      <c r="M287" s="10" t="inlineStr">
        <is>
          <t>ยังไม่ทดสอบ</t>
        </is>
      </c>
      <c r="N287" s="5" t="n"/>
      <c r="O287" s="18" t="n"/>
      <c r="P287" s="5" t="n"/>
      <c r="Q287" s="5" t="inlineStr">
        <is>
          <t>9f6c0f16</t>
        </is>
      </c>
    </row>
    <row r="288" ht="62" customHeight="1">
      <c r="A288" s="10" t="inlineStr">
        <is>
          <t>UAT-RR-018</t>
        </is>
      </c>
      <c r="B288" s="5" t="inlineStr">
        <is>
          <t>ใบแจ้งซ่อม (Repair Requests)</t>
        </is>
      </c>
      <c r="C288" s="5" t="inlineStr">
        <is>
          <t>ใบแจ้งซ่อม</t>
        </is>
      </c>
      <c r="D288" s="5" t="inlineStr">
        <is>
          <t>แสดงผลบนมือถือ 375px (ใบแจ้งซ่อม)</t>
        </is>
      </c>
      <c r="E288" s="10" t="inlineStr">
        <is>
          <t>Responsive</t>
        </is>
      </c>
      <c r="F288" s="5" t="inlineStr">
        <is>
          <t>เข้าสู่ระบบแล้ว; เปิด DevTools โหมดอุปกรณ์ iPhone SE/375×667</t>
        </is>
      </c>
      <c r="G288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288" s="5" t="inlineStr">
        <is>
          <t>ความกว้าง 375px</t>
        </is>
      </c>
      <c r="I288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เต็มจอและปิดได้; ผู้จัดการซ่อมบำรุง (maint.mgr)</t>
        </is>
      </c>
      <c r="J288" s="10" t="inlineStr">
        <is>
          <t>Medium</t>
        </is>
      </c>
      <c r="K288" s="5" t="inlineStr">
        <is>
          <t>ผู้ดูแลระบบสูงสุด (admin)</t>
        </is>
      </c>
      <c r="L288" s="5" t="n"/>
      <c r="M288" s="10" t="inlineStr">
        <is>
          <t>ยังไม่ทดสอบ</t>
        </is>
      </c>
      <c r="N288" s="5" t="n"/>
      <c r="O288" s="18" t="n"/>
      <c r="P288" s="5" t="n"/>
      <c r="Q288" s="5" t="inlineStr">
        <is>
          <t>9f6c0f16</t>
        </is>
      </c>
    </row>
    <row r="289" ht="62" customHeight="1">
      <c r="A289" s="10" t="inlineStr">
        <is>
          <t>UAT-RR-019</t>
        </is>
      </c>
      <c r="B289" s="5" t="inlineStr">
        <is>
          <t>ใบแจ้งซ่อม (Repair Requests)</t>
        </is>
      </c>
      <c r="C289" s="5" t="inlineStr">
        <is>
          <t>ใบแจ้งซ่อม</t>
        </is>
      </c>
      <c r="D289" s="5" t="inlineStr">
        <is>
          <t>แสดงผลบน Desktop 1920px และความอ่านง่ายธีมมืด (ใบแจ้งซ่อม)</t>
        </is>
      </c>
      <c r="E289" s="10" t="inlineStr">
        <is>
          <t>UI</t>
        </is>
      </c>
      <c r="F289" s="5" t="inlineStr">
        <is>
          <t>เข้าสู่ระบบแล้ว; หน้าจอ 1920×1080</t>
        </is>
      </c>
      <c r="G289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289" s="5" t="inlineStr">
        <is>
          <t>ความกว้าง 1920px</t>
        </is>
      </c>
      <c r="I289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289" s="10" t="inlineStr">
        <is>
          <t>Low</t>
        </is>
      </c>
      <c r="K289" s="5" t="inlineStr">
        <is>
          <t>ผู้ดูแลระบบสูงสุด (admin)</t>
        </is>
      </c>
      <c r="L289" s="5" t="n"/>
      <c r="M289" s="10" t="inlineStr">
        <is>
          <t>ยังไม่ทดสอบ</t>
        </is>
      </c>
      <c r="N289" s="5" t="n"/>
      <c r="O289" s="18" t="n"/>
      <c r="P289" s="5" t="n"/>
      <c r="Q289" s="5" t="inlineStr">
        <is>
          <t>9f6c0f16</t>
        </is>
      </c>
    </row>
    <row r="290" ht="47.5" customHeight="1">
      <c r="A290" s="10" t="inlineStr">
        <is>
          <t>UAT-PM-001</t>
        </is>
      </c>
      <c r="B290" s="5" t="inlineStr">
        <is>
          <t>แผน PM &amp; เช็คลิสต์</t>
        </is>
      </c>
      <c r="C290" s="5" t="inlineStr">
        <is>
          <t>แผน PM &amp; เช็คลิสต์</t>
        </is>
      </c>
      <c r="D290" s="5" t="inlineStr">
        <is>
          <t>KPI และตารางแผน PM</t>
        </is>
      </c>
      <c r="E290" s="10" t="inlineStr">
        <is>
          <t>UI</t>
        </is>
      </c>
      <c r="F290" s="5" t="inlineStr">
        <is>
          <t>เข้าสู่ระบบแล้ว</t>
        </is>
      </c>
      <c r="G290" s="5" t="inlineStr">
        <is>
          <t>1. เปิดหน้าแผน PM</t>
        </is>
      </c>
      <c r="H290" s="5" t="inlineStr">
        <is>
          <t>-</t>
        </is>
      </c>
      <c r="I290" s="5" t="inlineStr">
        <is>
          <t>KPI PM Compliance 90 วัน, แผนเกินกำหนด, ครบใน 14 วัน, ถึงรอบสร้างใบงาน; ตาราง แผน/ทรัพย์สิน/รอบ/ครบกำหนด/ผู้รับผิดชอบ/ใบงานค้าง</t>
        </is>
      </c>
      <c r="J290" s="10" t="inlineStr">
        <is>
          <t>Medium</t>
        </is>
      </c>
      <c r="K290" s="5" t="inlineStr">
        <is>
          <t>ผู้จัดการซ่อมบำรุง (maint.mgr)</t>
        </is>
      </c>
      <c r="L290" s="5" t="n"/>
      <c r="M290" s="10" t="inlineStr">
        <is>
          <t>ยังไม่ทดสอบ</t>
        </is>
      </c>
      <c r="N290" s="5" t="n"/>
      <c r="O290" s="18" t="n"/>
      <c r="P290" s="5" t="n"/>
      <c r="Q290" s="5" t="inlineStr">
        <is>
          <t>d937dfd7</t>
        </is>
      </c>
    </row>
    <row r="291" ht="62" customHeight="1">
      <c r="A291" s="10" t="inlineStr">
        <is>
          <t>UAT-PM-002</t>
        </is>
      </c>
      <c r="B291" s="5" t="inlineStr">
        <is>
          <t>แผน PM &amp; เช็คลิสต์</t>
        </is>
      </c>
      <c r="C291" s="5" t="inlineStr">
        <is>
          <t>แผน PM &amp; เช็คลิสต์</t>
        </is>
      </c>
      <c r="D291" s="5" t="inlineStr">
        <is>
          <t>สร้างแผน PM ตามเวลา (Fixed)</t>
        </is>
      </c>
      <c r="E291" s="10" t="inlineStr">
        <is>
          <t>Functional</t>
        </is>
      </c>
      <c r="F291" s="5" t="inlineStr">
        <is>
          <t>มีสิทธิ์ จัดการแผน PM</t>
        </is>
      </c>
      <c r="G291" s="5" t="inlineStr">
        <is>
          <t>1. คลิก "+ แผนใหม่"
2. กรอกชื่อแผน เลือกทรัพย์สิน ประเภทรอบ ตามเวลา (Fixed) ทุก 30 วัน Lead days 7 ช่าง เช็คลิสต์ อะไหล่
3. กด "บันทึกแผน"</t>
        </is>
      </c>
      <c r="H291" s="5" t="inlineStr">
        <is>
          <t>ตรวจสายพานลำเลียง; CONV-03; ทุก 30 วัน; Lead 7; สมชาย ว.; CL-001; จาระบี x2</t>
        </is>
      </c>
      <c r="I291" s="5" t="inlineStr">
        <is>
          <t>toast "บันทึกแผน PMP-… · … แล้ว · Lead days 7"; แผนใหม่แสดงในตารางพร้อมวันครบกำหนด</t>
        </is>
      </c>
      <c r="J291" s="10" t="inlineStr">
        <is>
          <t>High</t>
        </is>
      </c>
      <c r="K291" s="5" t="inlineStr">
        <is>
          <t>ผู้จัดการซ่อมบำรุง (maint.mgr)</t>
        </is>
      </c>
      <c r="L291" s="5" t="n"/>
      <c r="M291" s="10" t="inlineStr">
        <is>
          <t>ยังไม่ทดสอบ</t>
        </is>
      </c>
      <c r="N291" s="5" t="n"/>
      <c r="O291" s="18" t="n"/>
      <c r="P291" s="5" t="n"/>
      <c r="Q291" s="5" t="inlineStr">
        <is>
          <t>d937dfd7</t>
        </is>
      </c>
    </row>
    <row r="292" ht="18.5" customHeight="1">
      <c r="A292" s="10" t="inlineStr">
        <is>
          <t>UAT-PM-003</t>
        </is>
      </c>
      <c r="B292" s="5" t="inlineStr">
        <is>
          <t>แผน PM &amp; เช็คลิสต์</t>
        </is>
      </c>
      <c r="C292" s="5" t="inlineStr">
        <is>
          <t>แผน PM &amp; เช็คลิสต์</t>
        </is>
      </c>
      <c r="D292" s="5" t="inlineStr">
        <is>
          <t>สร้างแผน PM ตามมิเตอร์</t>
        </is>
      </c>
      <c r="E292" s="10" t="inlineStr">
        <is>
          <t>Functional</t>
        </is>
      </c>
      <c r="F292" s="5" t="inlineStr">
        <is>
          <t>มีสิทธิ์ จัดการแผน PM</t>
        </is>
      </c>
      <c r="G292" s="5" t="inlineStr">
        <is>
          <t>1. สร้างแผน ประเภทรอบ ตามมิเตอร์ ทุก 500 ชม.</t>
        </is>
      </c>
      <c r="H292" s="5" t="inlineStr">
        <is>
          <t>CMP-02; ทุก 500 ชม.</t>
        </is>
      </c>
      <c r="I292" s="5" t="inlineStr">
        <is>
          <t>แสดงรอบ "ทุก 500 ชม." และ "ตามมิเตอร์ (ใช้แล้ว x ชม.)"</t>
        </is>
      </c>
      <c r="J292" s="10" t="inlineStr">
        <is>
          <t>High</t>
        </is>
      </c>
      <c r="K292" s="5" t="inlineStr">
        <is>
          <t>ผู้จัดการซ่อมบำรุง (maint.mgr)</t>
        </is>
      </c>
      <c r="L292" s="5" t="n"/>
      <c r="M292" s="10" t="inlineStr">
        <is>
          <t>ยังไม่ทดสอบ</t>
        </is>
      </c>
      <c r="N292" s="5" t="n"/>
      <c r="O292" s="18" t="n"/>
      <c r="P292" s="5" t="n"/>
      <c r="Q292" s="5" t="inlineStr">
        <is>
          <t>d937dfd7</t>
        </is>
      </c>
    </row>
    <row r="293" ht="47.5" customHeight="1">
      <c r="A293" s="10" t="inlineStr">
        <is>
          <t>UAT-PM-004</t>
        </is>
      </c>
      <c r="B293" s="5" t="inlineStr">
        <is>
          <t>แผน PM &amp; เช็คลิสต์</t>
        </is>
      </c>
      <c r="C293" s="5" t="inlineStr">
        <is>
          <t>แผน PM &amp; เช็คลิสต์</t>
        </is>
      </c>
      <c r="D293" s="5" t="inlineStr">
        <is>
          <t>สร้างแผนไม่กรอกฟิลด์บังคับ / รอบเป็น 0</t>
        </is>
      </c>
      <c r="E293" s="10" t="inlineStr">
        <is>
          <t>Validation</t>
        </is>
      </c>
      <c r="F293" s="5" t="inlineStr">
        <is>
          <t>เปิดฟอร์มแผนใหม่</t>
        </is>
      </c>
      <c r="G293" s="5" t="inlineStr">
        <is>
          <t>1. เว้นว่างชื่อแผน
2. กรอก ทุก N = 0
3. บันทึก</t>
        </is>
      </c>
      <c r="H293" s="5" t="inlineStr">
        <is>
          <t>N = 0</t>
        </is>
      </c>
      <c r="I293" s="5" t="inlineStr">
        <is>
          <t>ไม่บันทึก แจ้งชื่อแผนบังคับและรอบต้องมากกว่า 0</t>
        </is>
      </c>
      <c r="J293" s="10" t="inlineStr">
        <is>
          <t>High</t>
        </is>
      </c>
      <c r="K293" s="5" t="inlineStr">
        <is>
          <t>ผู้จัดการซ่อมบำรุง (maint.mgr)</t>
        </is>
      </c>
      <c r="L293" s="5" t="n"/>
      <c r="M293" s="10" t="inlineStr">
        <is>
          <t>ยังไม่ทดสอบ</t>
        </is>
      </c>
      <c r="N293" s="5" t="n"/>
      <c r="O293" s="18" t="n"/>
      <c r="P293" s="5" t="n"/>
      <c r="Q293" s="5" t="inlineStr">
        <is>
          <t>d937dfd7</t>
        </is>
      </c>
    </row>
    <row r="294" ht="76.5" customHeight="1">
      <c r="A294" s="10" t="inlineStr">
        <is>
          <t>UAT-PM-005</t>
        </is>
      </c>
      <c r="B294" s="5" t="inlineStr">
        <is>
          <t>แผน PM &amp; เช็คลิสต์</t>
        </is>
      </c>
      <c r="C294" s="5" t="inlineStr">
        <is>
          <t>แผน PM &amp; เช็คลิสต์</t>
        </is>
      </c>
      <c r="D294" s="5" t="inlineStr">
        <is>
          <t>เพิ่มฟิลด์เพิ่มเติม (Custom Field) ในฟอร์มแผน PM ใหม่</t>
        </is>
      </c>
      <c r="E294" s="10" t="inlineStr">
        <is>
          <t>Functional</t>
        </is>
      </c>
      <c r="F294" s="5" t="inlineStr">
        <is>
          <t>เข้าสู่ระบบแล้ว; เปิดฟอร์มแผน PM ใหม่</t>
        </is>
      </c>
      <c r="G294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294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294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294" s="10" t="inlineStr">
        <is>
          <t>Medium</t>
        </is>
      </c>
      <c r="K294" s="5" t="inlineStr">
        <is>
          <t>ผู้จัดการซ่อมบำรุง (maint.mgr)</t>
        </is>
      </c>
      <c r="L294" s="5" t="n"/>
      <c r="M294" s="10" t="inlineStr">
        <is>
          <t>ยังไม่ทดสอบ</t>
        </is>
      </c>
      <c r="N294" s="5" t="n"/>
      <c r="O294" s="18" t="n"/>
      <c r="P294" s="5" t="n"/>
      <c r="Q294" s="5" t="inlineStr">
        <is>
          <t>d937dfd7</t>
        </is>
      </c>
    </row>
    <row r="295" ht="33" customHeight="1">
      <c r="A295" s="10" t="inlineStr">
        <is>
          <t>UAT-PM-006</t>
        </is>
      </c>
      <c r="B295" s="5" t="inlineStr">
        <is>
          <t>แผน PM &amp; เช็คลิสต์</t>
        </is>
      </c>
      <c r="C295" s="5" t="inlineStr">
        <is>
          <t>แผน PM &amp; เช็คลิสต์</t>
        </is>
      </c>
      <c r="D295" s="5" t="inlineStr">
        <is>
          <t>สร้างใบงานจากแผน (ทีละแผน)</t>
        </is>
      </c>
      <c r="E295" s="10" t="inlineStr">
        <is>
          <t>Functional</t>
        </is>
      </c>
      <c r="F295" s="5" t="inlineStr">
        <is>
          <t>แผนไม่มีใบงานค้าง</t>
        </is>
      </c>
      <c r="G295" s="5" t="inlineStr">
        <is>
          <t>1. คลิก "สร้างใบงาน" ที่แถว</t>
        </is>
      </c>
      <c r="H295" s="5" t="inlineStr">
        <is>
          <t>-</t>
        </is>
      </c>
      <c r="I295" s="5" t="inlineStr">
        <is>
          <t>toast "สร้าง PM-… จากแผน PMP-… แล้ว · มอบหมาย …"; คอลัมน์ใบงานค้างแสดงเลข WO; WO ประเภท PM ปรากฏในหน้าใบสั่งงาน</t>
        </is>
      </c>
      <c r="J295" s="10" t="inlineStr">
        <is>
          <t>High</t>
        </is>
      </c>
      <c r="K295" s="5" t="inlineStr">
        <is>
          <t>ผู้จัดการซ่อมบำรุง (maint.mgr)</t>
        </is>
      </c>
      <c r="L295" s="5" t="n"/>
      <c r="M295" s="10" t="inlineStr">
        <is>
          <t>ยังไม่ทดสอบ</t>
        </is>
      </c>
      <c r="N295" s="5" t="n"/>
      <c r="O295" s="18" t="n"/>
      <c r="P295" s="5" t="n"/>
      <c r="Q295" s="5" t="inlineStr">
        <is>
          <t>d937dfd7</t>
        </is>
      </c>
    </row>
    <row r="296" ht="18.5" customHeight="1">
      <c r="A296" s="10" t="inlineStr">
        <is>
          <t>UAT-PM-007</t>
        </is>
      </c>
      <c r="B296" s="5" t="inlineStr">
        <is>
          <t>แผน PM &amp; เช็คลิสต์</t>
        </is>
      </c>
      <c r="C296" s="5" t="inlineStr">
        <is>
          <t>แผน PM &amp; เช็คลิสต์</t>
        </is>
      </c>
      <c r="D296" s="5" t="inlineStr">
        <is>
          <t>1 แผนมีใบงานค้างได้ 1 ใบ</t>
        </is>
      </c>
      <c r="E296" s="10" t="inlineStr">
        <is>
          <t>Negative</t>
        </is>
      </c>
      <c r="F296" s="5" t="inlineStr">
        <is>
          <t>แผนมีใบงานค้างอยู่แล้ว</t>
        </is>
      </c>
      <c r="G296" s="5" t="inlineStr">
        <is>
          <t>1. พยายามสร้างใบงานจากแผนเดิมอีกครั้ง</t>
        </is>
      </c>
      <c r="H296" s="5" t="inlineStr">
        <is>
          <t>-</t>
        </is>
      </c>
      <c r="I296" s="5" t="inlineStr">
        <is>
          <t>ไม่มีปุ่มสร้างใบงาน/ระบบปฏิเสธ แจ้งว่ามีใบงานค้างอยู่</t>
        </is>
      </c>
      <c r="J296" s="10" t="inlineStr">
        <is>
          <t>High</t>
        </is>
      </c>
      <c r="K296" s="5" t="inlineStr">
        <is>
          <t>ผู้จัดการซ่อมบำรุง (maint.mgr)</t>
        </is>
      </c>
      <c r="L296" s="5" t="n"/>
      <c r="M296" s="10" t="inlineStr">
        <is>
          <t>ยังไม่ทดสอบ</t>
        </is>
      </c>
      <c r="N296" s="5" t="n"/>
      <c r="O296" s="18" t="n"/>
      <c r="P296" s="5" t="n"/>
      <c r="Q296" s="5" t="inlineStr">
        <is>
          <t>d937dfd7</t>
        </is>
      </c>
    </row>
    <row r="297" ht="33" customHeight="1">
      <c r="A297" s="10" t="inlineStr">
        <is>
          <t>UAT-PM-008</t>
        </is>
      </c>
      <c r="B297" s="5" t="inlineStr">
        <is>
          <t>แผน PM &amp; เช็คลิสต์</t>
        </is>
      </c>
      <c r="C297" s="5" t="inlineStr">
        <is>
          <t>แผน PM &amp; เช็คลิสต์</t>
        </is>
      </c>
      <c r="D297" s="5" t="inlineStr">
        <is>
          <t>ปุ่ม "สร้างใบงานที่ถึงรอบ" (Bulk)</t>
        </is>
      </c>
      <c r="E297" s="10" t="inlineStr">
        <is>
          <t>Functional</t>
        </is>
      </c>
      <c r="F297" s="5" t="inlineStr">
        <is>
          <t>มีแผนที่ถึงรอบตาม Lead days</t>
        </is>
      </c>
      <c r="G297" s="5" t="inlineStr">
        <is>
          <t>1. คลิก "สร้างใบงานที่ถึงรอบ"</t>
        </is>
      </c>
      <c r="H297" s="5" t="inlineStr">
        <is>
          <t>-</t>
        </is>
      </c>
      <c r="I297" s="5" t="inlineStr">
        <is>
          <t>สร้าง WO ให้ทุกแผนที่ถึงรอบ; ถ้าไม่มีแสดง "ตรวจรอบแล้ว: วันนี้ยังไม่มีแผนที่ถึงรอบสร้างใบงาน"</t>
        </is>
      </c>
      <c r="J297" s="10" t="inlineStr">
        <is>
          <t>High</t>
        </is>
      </c>
      <c r="K297" s="5" t="inlineStr">
        <is>
          <t>ผู้จัดการซ่อมบำรุง (maint.mgr)</t>
        </is>
      </c>
      <c r="L297" s="5" t="n"/>
      <c r="M297" s="10" t="inlineStr">
        <is>
          <t>ยังไม่ทดสอบ</t>
        </is>
      </c>
      <c r="N297" s="5" t="n"/>
      <c r="O297" s="18" t="n"/>
      <c r="P297" s="5" t="n"/>
      <c r="Q297" s="5" t="inlineStr">
        <is>
          <t>d937dfd7</t>
        </is>
      </c>
    </row>
    <row r="298" ht="33" customHeight="1">
      <c r="A298" s="10" t="inlineStr">
        <is>
          <t>UAT-PM-009</t>
        </is>
      </c>
      <c r="B298" s="5" t="inlineStr">
        <is>
          <t>แผน PM &amp; เช็คลิสต์</t>
        </is>
      </c>
      <c r="C298" s="5" t="inlineStr">
        <is>
          <t>แผน PM &amp; เช็คลิสต์</t>
        </is>
      </c>
      <c r="D298" s="5" t="inlineStr">
        <is>
          <t>Cron pm_generate สร้างใบงานอัตโนมัติ</t>
        </is>
      </c>
      <c r="E298" s="10" t="inlineStr">
        <is>
          <t>Functional</t>
        </is>
      </c>
      <c r="F298" s="5" t="inlineStr">
        <is>
          <t>Cron ตั้งค่าแล้ว</t>
        </is>
      </c>
      <c r="G298" s="5" t="inlineStr">
        <is>
          <t>1. รอรอบ cron ทุก 1 ชม.
2. ตรวจหน้า PM/WO</t>
        </is>
      </c>
      <c r="H298" s="5" t="inlineStr">
        <is>
          <t>-</t>
        </is>
      </c>
      <c r="I298" s="5" t="inlineStr">
        <is>
          <t>ใบงาน PM ถูกสร้างตาม Lead days; ประวัติ cron "สร้างใบงาน PM n ใบ"</t>
        </is>
      </c>
      <c r="J298" s="10" t="inlineStr">
        <is>
          <t>Medium</t>
        </is>
      </c>
      <c r="K298" s="5" t="inlineStr">
        <is>
          <t>ผู้จัดการซ่อมบำรุง (maint.mgr)</t>
        </is>
      </c>
      <c r="L298" s="5" t="n"/>
      <c r="M298" s="10" t="inlineStr">
        <is>
          <t>ยังไม่ทดสอบ</t>
        </is>
      </c>
      <c r="N298" s="5" t="n"/>
      <c r="O298" s="18" t="n"/>
      <c r="P298" s="5" t="n"/>
      <c r="Q298" s="5" t="inlineStr">
        <is>
          <t>d937dfd7</t>
        </is>
      </c>
    </row>
    <row r="299" ht="33" customHeight="1">
      <c r="A299" s="10" t="inlineStr">
        <is>
          <t>UAT-PM-010</t>
        </is>
      </c>
      <c r="B299" s="5" t="inlineStr">
        <is>
          <t>แผน PM &amp; เช็คลิสต์</t>
        </is>
      </c>
      <c r="C299" s="5" t="inlineStr">
        <is>
          <t>แผน PM &amp; เช็คลิสต์</t>
        </is>
      </c>
      <c r="D299" s="5" t="inlineStr">
        <is>
          <t>Fixed vs Floating: วันครบกำหนดถัดไป</t>
        </is>
      </c>
      <c r="E299" s="10" t="inlineStr">
        <is>
          <t>Functional</t>
        </is>
      </c>
      <c r="F299" s="5" t="inlineStr">
        <is>
          <t>แผน Fixed และ Floating ทุก 30 วัน; ปิดงานช้า 5 วัน</t>
        </is>
      </c>
      <c r="G299" s="5" t="inlineStr">
        <is>
          <t>1. ปิด WO ของทั้งสองแผน
2. ตรวจวันครบกำหนดถัดไป</t>
        </is>
      </c>
      <c r="H299" s="5" t="inlineStr">
        <is>
          <t>-</t>
        </is>
      </c>
      <c r="I299" s="5" t="inlineStr">
        <is>
          <t>Fixed: นับจากวันครบกำหนดเดิม; Floating: นับจากวันปิดงานจริง</t>
        </is>
      </c>
      <c r="J299" s="10" t="inlineStr">
        <is>
          <t>High</t>
        </is>
      </c>
      <c r="K299" s="5" t="inlineStr">
        <is>
          <t>ผู้จัดการซ่อมบำรุง (maint.mgr)</t>
        </is>
      </c>
      <c r="L299" s="5" t="n"/>
      <c r="M299" s="10" t="inlineStr">
        <is>
          <t>ยังไม่ทดสอบ</t>
        </is>
      </c>
      <c r="N299" s="5" t="n"/>
      <c r="O299" s="18" t="n"/>
      <c r="P299" s="5" t="n"/>
      <c r="Q299" s="5" t="inlineStr">
        <is>
          <t>d937dfd7</t>
        </is>
      </c>
    </row>
    <row r="300" ht="33" customHeight="1">
      <c r="A300" s="10" t="inlineStr">
        <is>
          <t>UAT-PM-011</t>
        </is>
      </c>
      <c r="B300" s="5" t="inlineStr">
        <is>
          <t>แผน PM &amp; เช็คลิสต์</t>
        </is>
      </c>
      <c r="C300" s="5" t="inlineStr">
        <is>
          <t>แผน PM &amp; เช็คลิสต์</t>
        </is>
      </c>
      <c r="D300" s="5" t="inlineStr">
        <is>
          <t>กรองสถานะแผน</t>
        </is>
      </c>
      <c r="E300" s="10" t="inlineStr">
        <is>
          <t>Functional</t>
        </is>
      </c>
      <c r="F300" s="5" t="inlineStr">
        <is>
          <t>เข้าสู่ระบบแล้ว</t>
        </is>
      </c>
      <c r="G300" s="5" t="inlineStr">
        <is>
          <t>1. เลือก เกินกำหนด / ครบใน 14 วัน / ปิดใช้งาน</t>
        </is>
      </c>
      <c r="H300" s="5" t="inlineStr">
        <is>
          <t>-</t>
        </is>
      </c>
      <c r="I300" s="5" t="inlineStr">
        <is>
          <t>แสดงตามสถานะ; เกินกำหนดแสดง "เกิน n วัน" สีแดง; ไม่มีข้อมูลแสดง "ไม่มีแผนในสถานะนี้"</t>
        </is>
      </c>
      <c r="J300" s="10" t="inlineStr">
        <is>
          <t>Medium</t>
        </is>
      </c>
      <c r="K300" s="5" t="inlineStr">
        <is>
          <t>ผู้จัดการซ่อมบำรุง (maint.mgr)</t>
        </is>
      </c>
      <c r="L300" s="5" t="n"/>
      <c r="M300" s="10" t="inlineStr">
        <is>
          <t>ยังไม่ทดสอบ</t>
        </is>
      </c>
      <c r="N300" s="5" t="n"/>
      <c r="O300" s="18" t="n"/>
      <c r="P300" s="5" t="n"/>
      <c r="Q300" s="5" t="inlineStr">
        <is>
          <t>d937dfd7</t>
        </is>
      </c>
    </row>
    <row r="301" ht="33" customHeight="1">
      <c r="A301" s="10" t="inlineStr">
        <is>
          <t>UAT-PM-012</t>
        </is>
      </c>
      <c r="B301" s="5" t="inlineStr">
        <is>
          <t>แผน PM &amp; เช็คลิสต์</t>
        </is>
      </c>
      <c r="C301" s="5" t="inlineStr">
        <is>
          <t>แผน PM &amp; เช็คลิสต์</t>
        </is>
      </c>
      <c r="D301" s="5" t="inlineStr">
        <is>
          <t>แท็บปฏิทิน 90 วัน</t>
        </is>
      </c>
      <c r="E301" s="10" t="inlineStr">
        <is>
          <t>Functional</t>
        </is>
      </c>
      <c r="F301" s="5" t="inlineStr">
        <is>
          <t>เข้าสู่ระบบแล้ว</t>
        </is>
      </c>
      <c r="G301" s="5" t="inlineStr">
        <is>
          <t>1. คลิกแท็บ ปฏิทิน 90 วัน
2. คลิกวันที่มีแผน</t>
        </is>
      </c>
      <c r="H301" s="5" t="inlineStr">
        <is>
          <t>-</t>
        </is>
      </c>
      <c r="I301" s="5" t="inlineStr">
        <is>
          <t>แสดงจำนวนแผนต่อวัน; คลิกวันแสดงรายละเอียด "วันที่ n ของช่วง 90 วัน · m แผน"; วันที่ไม่มีแผนแสดงข้อความว่าง</t>
        </is>
      </c>
      <c r="J301" s="10" t="inlineStr">
        <is>
          <t>Medium</t>
        </is>
      </c>
      <c r="K301" s="5" t="inlineStr">
        <is>
          <t>ผู้จัดการซ่อมบำรุง (maint.mgr)</t>
        </is>
      </c>
      <c r="L301" s="5" t="n"/>
      <c r="M301" s="10" t="inlineStr">
        <is>
          <t>ยังไม่ทดสอบ</t>
        </is>
      </c>
      <c r="N301" s="5" t="n"/>
      <c r="O301" s="18" t="n"/>
      <c r="P301" s="5" t="n"/>
      <c r="Q301" s="5" t="inlineStr">
        <is>
          <t>d937dfd7</t>
        </is>
      </c>
    </row>
    <row r="302" ht="33" customHeight="1">
      <c r="A302" s="10" t="inlineStr">
        <is>
          <t>UAT-PM-013</t>
        </is>
      </c>
      <c r="B302" s="5" t="inlineStr">
        <is>
          <t>แผน PM &amp; เช็คลิสต์</t>
        </is>
      </c>
      <c r="C302" s="5" t="inlineStr">
        <is>
          <t>แผน PM &amp; เช็คลิสต์</t>
        </is>
      </c>
      <c r="D302" s="5" t="inlineStr">
        <is>
          <t>แท็บเช็คลิสต์: รายการตรวจและช่วงค่าปกติ</t>
        </is>
      </c>
      <c r="E302" s="10" t="inlineStr">
        <is>
          <t>Functional</t>
        </is>
      </c>
      <c r="F302" s="5" t="inlineStr">
        <is>
          <t>เข้าสู่ระบบแล้ว</t>
        </is>
      </c>
      <c r="G302" s="5" t="inlineStr">
        <is>
          <t>1. คลิกแท็บ เช็คลิสต์
2. ตรวจ CL-002 ตรวจมอเตอร์</t>
        </is>
      </c>
      <c r="H302" s="5" t="inlineStr">
        <is>
          <t>-</t>
        </is>
      </c>
      <c r="I302" s="5" t="inlineStr">
        <is>
          <t>แต่ละข้อแสดงประเภท ผ่าน/ไม่ผ่าน หรือ ค่าที่วัดได้ · ช่วงปกติ (เช่น อุณหภูมิตลับลูกปืน 40–75 °C)</t>
        </is>
      </c>
      <c r="J302" s="10" t="inlineStr">
        <is>
          <t>Medium</t>
        </is>
      </c>
      <c r="K302" s="5" t="inlineStr">
        <is>
          <t>ผู้จัดการซ่อมบำรุง (maint.mgr)</t>
        </is>
      </c>
      <c r="L302" s="5" t="n"/>
      <c r="M302" s="10" t="inlineStr">
        <is>
          <t>ยังไม่ทดสอบ</t>
        </is>
      </c>
      <c r="N302" s="5" t="n"/>
      <c r="O302" s="18" t="n"/>
      <c r="P302" s="5" t="n"/>
      <c r="Q302" s="5" t="inlineStr">
        <is>
          <t>d937dfd7</t>
        </is>
      </c>
    </row>
    <row r="303" ht="18.5" customHeight="1">
      <c r="A303" s="10" t="inlineStr">
        <is>
          <t>UAT-PM-014</t>
        </is>
      </c>
      <c r="B303" s="5" t="inlineStr">
        <is>
          <t>แผน PM &amp; เช็คลิสต์</t>
        </is>
      </c>
      <c r="C303" s="5" t="inlineStr">
        <is>
          <t>แผน PM &amp; เช็คลิสต์</t>
        </is>
      </c>
      <c r="D303" s="5" t="inlineStr">
        <is>
          <t>บันทึกค่าเช็คลิสต์นอกช่วงปกติ</t>
        </is>
      </c>
      <c r="E303" s="10" t="inlineStr">
        <is>
          <t>Validation</t>
        </is>
      </c>
      <c r="F303" s="5" t="inlineStr">
        <is>
          <t>ช่างกรอกเช็คลิสต์ใน WO PM</t>
        </is>
      </c>
      <c r="G303" s="5" t="inlineStr">
        <is>
          <t>1. กรอกอุณหภูมิตลับลูกปืน 90 °C</t>
        </is>
      </c>
      <c r="H303" s="5" t="inlineStr">
        <is>
          <t>90</t>
        </is>
      </c>
      <c r="I303" s="5" t="inlineStr">
        <is>
          <t>ระบบไฮไลต์ค่าเกินช่วงและบังคับระบุหมายเหตุ/แนะนำสร้าง WO แก้ไข</t>
        </is>
      </c>
      <c r="J303" s="10" t="inlineStr">
        <is>
          <t>Medium</t>
        </is>
      </c>
      <c r="K303" s="5" t="inlineStr">
        <is>
          <t>ช่างซ่อมบำรุง (somchai)</t>
        </is>
      </c>
      <c r="L303" s="5" t="n"/>
      <c r="M303" s="10" t="inlineStr">
        <is>
          <t>ยังไม่ทดสอบ</t>
        </is>
      </c>
      <c r="N303" s="5" t="n"/>
      <c r="O303" s="18" t="n"/>
      <c r="P303" s="5" t="n"/>
      <c r="Q303" s="5" t="inlineStr">
        <is>
          <t>d937dfd7</t>
        </is>
      </c>
    </row>
    <row r="304" ht="18.5" customHeight="1">
      <c r="A304" s="10" t="inlineStr">
        <is>
          <t>UAT-PM-015</t>
        </is>
      </c>
      <c r="B304" s="5" t="inlineStr">
        <is>
          <t>แผน PM &amp; เช็คลิสต์</t>
        </is>
      </c>
      <c r="C304" s="5" t="inlineStr">
        <is>
          <t>แผน PM &amp; เช็คลิสต์</t>
        </is>
      </c>
      <c r="D304" s="5" t="inlineStr">
        <is>
          <t>ใช้เครื่องมือวัดที่สอบเทียบหมดอายุในเช็คลิสต์</t>
        </is>
      </c>
      <c r="E304" s="10" t="inlineStr">
        <is>
          <t>Negative</t>
        </is>
      </c>
      <c r="F304" s="5" t="inlineStr">
        <is>
          <t>GAU-011 สอบเทียบเกินกำหนด</t>
        </is>
      </c>
      <c r="G304" s="5" t="inlineStr">
        <is>
          <t>1. บันทึกค่าเช็คลิสต์โดยเลือกเครื่องมือ GAU-011</t>
        </is>
      </c>
      <c r="H304" s="5" t="inlineStr">
        <is>
          <t>-</t>
        </is>
      </c>
      <c r="I304" s="5" t="inlineStr">
        <is>
          <t>ระบบไม่อนุญาตบันทึกค่า (ระงับการบันทึกค่าในเช็คลิสต์)</t>
        </is>
      </c>
      <c r="J304" s="10" t="inlineStr">
        <is>
          <t>High</t>
        </is>
      </c>
      <c r="K304" s="5" t="inlineStr">
        <is>
          <t>ช่างซ่อมบำรุง (somchai)</t>
        </is>
      </c>
      <c r="L304" s="5" t="n"/>
      <c r="M304" s="10" t="inlineStr">
        <is>
          <t>ยังไม่ทดสอบ</t>
        </is>
      </c>
      <c r="N304" s="5" t="n"/>
      <c r="O304" s="18" t="n"/>
      <c r="P304" s="5" t="n"/>
      <c r="Q304" s="5" t="inlineStr">
        <is>
          <t>d937dfd7</t>
        </is>
      </c>
    </row>
    <row r="305" ht="33" customHeight="1">
      <c r="A305" s="10" t="inlineStr">
        <is>
          <t>UAT-PM-016</t>
        </is>
      </c>
      <c r="B305" s="5" t="inlineStr">
        <is>
          <t>แผน PM &amp; เช็คลิสต์</t>
        </is>
      </c>
      <c r="C305" s="5" t="inlineStr">
        <is>
          <t>แผน PM &amp; เช็คลิสต์</t>
        </is>
      </c>
      <c r="D305" s="5" t="inlineStr">
        <is>
          <t>แก้ไข/ปิดใช้งานแผน</t>
        </is>
      </c>
      <c r="E305" s="10" t="inlineStr">
        <is>
          <t>Functional</t>
        </is>
      </c>
      <c r="F305" s="5" t="inlineStr">
        <is>
          <t>มีแผนอยู่</t>
        </is>
      </c>
      <c r="G305" s="5" t="inlineStr">
        <is>
          <t>1. คลิกแก้ไข
2. ปิดใช้งานแผน</t>
        </is>
      </c>
      <c r="H305" s="5" t="inlineStr">
        <is>
          <t>-</t>
        </is>
      </c>
      <c r="I305" s="5" t="inlineStr">
        <is>
          <t>แผนสถานะ ปิดใช้งาน และไม่ถูกสร้างใบงาน</t>
        </is>
      </c>
      <c r="J305" s="10" t="inlineStr">
        <is>
          <t>Medium</t>
        </is>
      </c>
      <c r="K305" s="5" t="inlineStr">
        <is>
          <t>ผู้จัดการซ่อมบำรุง (maint.mgr)</t>
        </is>
      </c>
      <c r="L305" s="5" t="n"/>
      <c r="M305" s="10" t="inlineStr">
        <is>
          <t>ยังไม่ทดสอบ</t>
        </is>
      </c>
      <c r="N305" s="5" t="n"/>
      <c r="O305" s="18" t="n"/>
      <c r="P305" s="5" t="n"/>
      <c r="Q305" s="5" t="inlineStr">
        <is>
          <t>d937dfd7</t>
        </is>
      </c>
    </row>
    <row r="306" ht="18.5" customHeight="1">
      <c r="A306" s="10" t="inlineStr">
        <is>
          <t>UAT-PM-017</t>
        </is>
      </c>
      <c r="B306" s="5" t="inlineStr">
        <is>
          <t>แผน PM &amp; เช็คลิสต์</t>
        </is>
      </c>
      <c r="C306" s="5" t="inlineStr">
        <is>
          <t>แผน PM &amp; เช็คลิสต์</t>
        </is>
      </c>
      <c r="D306" s="5" t="inlineStr">
        <is>
          <t>ช่างไม่มีสิทธิ์สร้างแผน</t>
        </is>
      </c>
      <c r="E306" s="10" t="inlineStr">
        <is>
          <t>Permission</t>
        </is>
      </c>
      <c r="F306" s="5" t="inlineStr">
        <is>
          <t>ล็อกอินเป็นช่าง</t>
        </is>
      </c>
      <c r="G306" s="5" t="inlineStr">
        <is>
          <t>1. เปิดหน้าแผน PM</t>
        </is>
      </c>
      <c r="H306" s="5" t="inlineStr">
        <is>
          <t>-</t>
        </is>
      </c>
      <c r="I306" s="5" t="inlineStr">
        <is>
          <t>ปุ่ม "+ แผนใหม่" และแก้ไขถูกซ่อน</t>
        </is>
      </c>
      <c r="J306" s="10" t="inlineStr">
        <is>
          <t>High</t>
        </is>
      </c>
      <c r="K306" s="5" t="inlineStr">
        <is>
          <t>ช่างซ่อมบำรุง (somchai)</t>
        </is>
      </c>
      <c r="L306" s="5" t="n"/>
      <c r="M306" s="10" t="inlineStr">
        <is>
          <t>ยังไม่ทดสอบ</t>
        </is>
      </c>
      <c r="N306" s="5" t="n"/>
      <c r="O306" s="18" t="n"/>
      <c r="P306" s="5" t="n"/>
      <c r="Q306" s="5" t="inlineStr">
        <is>
          <t>d937dfd7</t>
        </is>
      </c>
    </row>
    <row r="307" ht="33" customHeight="1">
      <c r="A307" s="10" t="inlineStr">
        <is>
          <t>UAT-PM-018</t>
        </is>
      </c>
      <c r="B307" s="5" t="inlineStr">
        <is>
          <t>แผน PM &amp; เช็คลิสต์</t>
        </is>
      </c>
      <c r="C307" s="5" t="inlineStr">
        <is>
          <t>แผน PM &amp; เช็คลิสต์</t>
        </is>
      </c>
      <c r="D307" s="5" t="inlineStr">
        <is>
          <t>ค้นหาไม่พบข้อมูล (แผน PM &amp; เช็คลิสต์)</t>
        </is>
      </c>
      <c r="E307" s="10" t="inlineStr">
        <is>
          <t>Negative</t>
        </is>
      </c>
      <c r="F307" s="5" t="inlineStr">
        <is>
          <t>เข้าสู่ระบบแล้ว และอยู่ที่หน้าแผน PM &amp; เช็คลิสต์</t>
        </is>
      </c>
      <c r="G307" s="5" t="inlineStr">
        <is>
          <t>1. พิมพ์คำค้นที่ไม่มีอยู่จริงในช่อง "ค้นหาชื่อแผน รหัส หรือทรัพย์สิน…"
2. สังเกตตาราง/รายการ</t>
        </is>
      </c>
      <c r="H307" s="5" t="inlineStr">
        <is>
          <t>คำค้น: ZZZ-NOTFOUND-999</t>
        </is>
      </c>
      <c r="I307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07" s="10" t="inlineStr">
        <is>
          <t>Low</t>
        </is>
      </c>
      <c r="K307" s="5" t="inlineStr">
        <is>
          <t>ผู้จัดการซ่อมบำรุง (maint.mgr)</t>
        </is>
      </c>
      <c r="L307" s="5" t="n"/>
      <c r="M307" s="10" t="inlineStr">
        <is>
          <t>ยังไม่ทดสอบ</t>
        </is>
      </c>
      <c r="N307" s="5" t="n"/>
      <c r="O307" s="18" t="n"/>
      <c r="P307" s="5" t="n"/>
      <c r="Q307" s="5" t="inlineStr">
        <is>
          <t>d937dfd7</t>
        </is>
      </c>
    </row>
    <row r="308" ht="47.5" customHeight="1">
      <c r="A308" s="10" t="inlineStr">
        <is>
          <t>UAT-PM-019</t>
        </is>
      </c>
      <c r="B308" s="5" t="inlineStr">
        <is>
          <t>แผน PM &amp; เช็คลิสต์</t>
        </is>
      </c>
      <c r="C308" s="5" t="inlineStr">
        <is>
          <t>แผน PM &amp; เช็คลิสต์</t>
        </is>
      </c>
      <c r="D308" s="5" t="inlineStr">
        <is>
          <t>ค้นหาด้วยคำค้นที่มีอยู่จริง (แผน PM &amp; เช็คลิสต์)</t>
        </is>
      </c>
      <c r="E308" s="10" t="inlineStr">
        <is>
          <t>Functional</t>
        </is>
      </c>
      <c r="F308" s="5" t="inlineStr">
        <is>
          <t>เข้าสู่ระบบแล้ว และอยู่ที่หน้าแผน PM &amp; เช็คลิสต์</t>
        </is>
      </c>
      <c r="G308" s="5" t="inlineStr">
        <is>
          <t>1. พิมพ์คำค้นในช่อง "ค้นหาชื่อแผน รหัส หรือทรัพย์สิน…"
2. ตรวจรายการที่แสดง
3. ล้างคำค้น</t>
        </is>
      </c>
      <c r="H308" s="5" t="inlineStr">
        <is>
          <t>คำค้น: CMP-02</t>
        </is>
      </c>
      <c r="I308" s="5" t="inlineStr">
        <is>
          <t>แสดงเฉพาะรายการที่ตรงกับคำค้น (แผน เปลี่ยนไส้กรองอากาศ 500 ชม.); เมื่อล้างคำค้นรายการกลับมาครบ</t>
        </is>
      </c>
      <c r="J308" s="10" t="inlineStr">
        <is>
          <t>Medium</t>
        </is>
      </c>
      <c r="K308" s="5" t="inlineStr">
        <is>
          <t>ผู้จัดการซ่อมบำรุง (maint.mgr)</t>
        </is>
      </c>
      <c r="L308" s="5" t="n"/>
      <c r="M308" s="10" t="inlineStr">
        <is>
          <t>ยังไม่ทดสอบ</t>
        </is>
      </c>
      <c r="N308" s="5" t="n"/>
      <c r="O308" s="18" t="n"/>
      <c r="P308" s="5" t="n"/>
      <c r="Q308" s="5" t="inlineStr">
        <is>
          <t>d937dfd7</t>
        </is>
      </c>
    </row>
    <row r="309" ht="62" customHeight="1">
      <c r="A309" s="10" t="inlineStr">
        <is>
          <t>UAT-PM-020</t>
        </is>
      </c>
      <c r="B309" s="5" t="inlineStr">
        <is>
          <t>แผน PM &amp; เช็คลิสต์</t>
        </is>
      </c>
      <c r="C309" s="5" t="inlineStr">
        <is>
          <t>แผน PM &amp; เช็คลิสต์</t>
        </is>
      </c>
      <c r="D309" s="5" t="inlineStr">
        <is>
          <t>แสดงผลบนมือถือ 375px (แผน PM &amp; เช็คลิสต์)</t>
        </is>
      </c>
      <c r="E309" s="10" t="inlineStr">
        <is>
          <t>Responsive</t>
        </is>
      </c>
      <c r="F309" s="5" t="inlineStr">
        <is>
          <t>เข้าสู่ระบบแล้ว; เปิด DevTools โหมดอุปกรณ์ iPhone SE/375×667</t>
        </is>
      </c>
      <c r="G309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309" s="5" t="inlineStr">
        <is>
          <t>ความกว้าง 375px</t>
        </is>
      </c>
      <c r="I309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309" s="10" t="inlineStr">
        <is>
          <t>Medium</t>
        </is>
      </c>
      <c r="K309" s="5" t="inlineStr">
        <is>
          <t>ผู้จัดการซ่อมบำรุง (maint.mgr)</t>
        </is>
      </c>
      <c r="L309" s="5" t="n"/>
      <c r="M309" s="10" t="inlineStr">
        <is>
          <t>ยังไม่ทดสอบ</t>
        </is>
      </c>
      <c r="N309" s="5" t="n"/>
      <c r="O309" s="18" t="n"/>
      <c r="P309" s="5" t="n"/>
      <c r="Q309" s="5" t="inlineStr">
        <is>
          <t>d937dfd7</t>
        </is>
      </c>
    </row>
    <row r="310" ht="62" customHeight="1">
      <c r="A310" s="10" t="inlineStr">
        <is>
          <t>UAT-PM-021</t>
        </is>
      </c>
      <c r="B310" s="5" t="inlineStr">
        <is>
          <t>แผน PM &amp; เช็คลิสต์</t>
        </is>
      </c>
      <c r="C310" s="5" t="inlineStr">
        <is>
          <t>แผน PM &amp; เช็คลิสต์</t>
        </is>
      </c>
      <c r="D310" s="5" t="inlineStr">
        <is>
          <t>แสดงผลบน Desktop 1920px และความอ่านง่ายธีมมืด (แผน PM &amp; เช็คลิสต์)</t>
        </is>
      </c>
      <c r="E310" s="10" t="inlineStr">
        <is>
          <t>UI</t>
        </is>
      </c>
      <c r="F310" s="5" t="inlineStr">
        <is>
          <t>เข้าสู่ระบบแล้ว; หน้าจอ 1920×1080</t>
        </is>
      </c>
      <c r="G310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310" s="5" t="inlineStr">
        <is>
          <t>ความกว้าง 1920px</t>
        </is>
      </c>
      <c r="I310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310" s="10" t="inlineStr">
        <is>
          <t>Low</t>
        </is>
      </c>
      <c r="K310" s="5" t="inlineStr">
        <is>
          <t>ผู้จัดการซ่อมบำรุง (maint.mgr)</t>
        </is>
      </c>
      <c r="L310" s="5" t="n"/>
      <c r="M310" s="10" t="inlineStr">
        <is>
          <t>ยังไม่ทดสอบ</t>
        </is>
      </c>
      <c r="N310" s="5" t="n"/>
      <c r="O310" s="18" t="n"/>
      <c r="P310" s="5" t="n"/>
      <c r="Q310" s="5" t="inlineStr">
        <is>
          <t>d937dfd7</t>
        </is>
      </c>
    </row>
    <row r="311" ht="33" customHeight="1">
      <c r="A311" s="10" t="inlineStr">
        <is>
          <t>UAT-IOT-001</t>
        </is>
      </c>
      <c r="B311" s="5" t="inlineStr">
        <is>
          <t>Predictive Maintenance / IoT</t>
        </is>
      </c>
      <c r="C311" s="5" t="inlineStr">
        <is>
          <t>Predictive / IoT</t>
        </is>
      </c>
      <c r="D311" s="5" t="inlineStr">
        <is>
          <t>การ์ดเครื่องจักรที่ติดตาม</t>
        </is>
      </c>
      <c r="E311" s="10" t="inlineStr">
        <is>
          <t>UI</t>
        </is>
      </c>
      <c r="F311" s="5" t="inlineStr">
        <is>
          <t>เข้าสู่ระบบแล้ว</t>
        </is>
      </c>
      <c r="G311" s="5" t="inlineStr">
        <is>
          <t>1. เปิดหน้า Predictive/IoT</t>
        </is>
      </c>
      <c r="H311" s="5" t="inlineStr">
        <is>
          <t>-</t>
        </is>
      </c>
      <c r="I311" s="5" t="inlineStr">
        <is>
          <t>การ์ดแสดงเครื่อง ค่าเซนเซอร์ สถานะ (เกินเกณฑ์/เฝ้าระวัง/ปกติ/ออฟไลน์) ชม.ทำงาน และ "คาดอายุคงเหลือ ~n วัน"</t>
        </is>
      </c>
      <c r="J311" s="10" t="inlineStr">
        <is>
          <t>Medium</t>
        </is>
      </c>
      <c r="K311" s="5" t="inlineStr">
        <is>
          <t>ผู้จัดการซ่อมบำรุง (maint.mgr)</t>
        </is>
      </c>
      <c r="L311" s="5" t="n"/>
      <c r="M311" s="10" t="inlineStr">
        <is>
          <t>ยังไม่ทดสอบ</t>
        </is>
      </c>
      <c r="N311" s="5" t="n"/>
      <c r="O311" s="18" t="n"/>
      <c r="P311" s="5" t="n"/>
      <c r="Q311" s="5" t="inlineStr">
        <is>
          <t>aa29fd93</t>
        </is>
      </c>
    </row>
    <row r="312" ht="33" customHeight="1">
      <c r="A312" s="10" t="inlineStr">
        <is>
          <t>UAT-IOT-002</t>
        </is>
      </c>
      <c r="B312" s="5" t="inlineStr">
        <is>
          <t>Predictive Maintenance / IoT</t>
        </is>
      </c>
      <c r="C312" s="5" t="inlineStr">
        <is>
          <t>Predictive / IoT</t>
        </is>
      </c>
      <c r="D312" s="5" t="inlineStr">
        <is>
          <t>ดูแนวโน้มเซนเซอร์ 24 ชม.</t>
        </is>
      </c>
      <c r="E312" s="10" t="inlineStr">
        <is>
          <t>Functional</t>
        </is>
      </c>
      <c r="F312" s="5" t="inlineStr">
        <is>
          <t>เข้าสู่ระบบแล้ว</t>
        </is>
      </c>
      <c r="G312" s="5" t="inlineStr">
        <is>
          <t>1. คลิก "ดูแนวโน้ม" ที่การ์ดมอเตอร์</t>
        </is>
      </c>
      <c r="H312" s="5" t="inlineStr">
        <is>
          <t>-</t>
        </is>
      </c>
      <c r="I312" s="5" t="inlineStr">
        <is>
          <t>กราฟ 24 ชม. แสดงเส้นเกณฑ์และจุดผิดปกติ หัวกราฟระบุหน่วยและจำนวนครั้งที่เกินเกณฑ์</t>
        </is>
      </c>
      <c r="J312" s="10" t="inlineStr">
        <is>
          <t>Medium</t>
        </is>
      </c>
      <c r="K312" s="5" t="inlineStr">
        <is>
          <t>ผู้จัดการซ่อมบำรุง (maint.mgr)</t>
        </is>
      </c>
      <c r="L312" s="5" t="n"/>
      <c r="M312" s="10" t="inlineStr">
        <is>
          <t>ยังไม่ทดสอบ</t>
        </is>
      </c>
      <c r="N312" s="5" t="n"/>
      <c r="O312" s="18" t="n"/>
      <c r="P312" s="5" t="n"/>
      <c r="Q312" s="5" t="inlineStr">
        <is>
          <t>aa29fd93</t>
        </is>
      </c>
    </row>
    <row r="313" ht="33" customHeight="1">
      <c r="A313" s="10" t="inlineStr">
        <is>
          <t>UAT-IOT-003</t>
        </is>
      </c>
      <c r="B313" s="5" t="inlineStr">
        <is>
          <t>Predictive Maintenance / IoT</t>
        </is>
      </c>
      <c r="C313" s="5" t="inlineStr">
        <is>
          <t>Predictive / IoT</t>
        </is>
      </c>
      <c r="D313" s="5" t="inlineStr">
        <is>
          <t>สร้างใบงานอัตโนมัติจากการ์ด</t>
        </is>
      </c>
      <c r="E313" s="10" t="inlineStr">
        <is>
          <t>Functional</t>
        </is>
      </c>
      <c r="F313" s="5" t="inlineStr">
        <is>
          <t>เครื่องมีสถานะเกินเกณฑ์</t>
        </is>
      </c>
      <c r="G313" s="5" t="inlineStr">
        <is>
          <t>1. คลิก "สร้างใบงานอัตโนมัติ"</t>
        </is>
      </c>
      <c r="H313" s="5" t="inlineStr">
        <is>
          <t>-</t>
        </is>
      </c>
      <c r="I313" s="5" t="inlineStr">
        <is>
          <t>toast "สร้างใบงานอัตโนมัติ WO-… สำหรับ … แล้ว"; WO ประเภท Predictive ปรากฏในหน้าใบสั่งงาน</t>
        </is>
      </c>
      <c r="J313" s="10" t="inlineStr">
        <is>
          <t>High</t>
        </is>
      </c>
      <c r="K313" s="5" t="inlineStr">
        <is>
          <t>ผู้จัดการซ่อมบำรุง (maint.mgr)</t>
        </is>
      </c>
      <c r="L313" s="5" t="n"/>
      <c r="M313" s="10" t="inlineStr">
        <is>
          <t>ยังไม่ทดสอบ</t>
        </is>
      </c>
      <c r="N313" s="5" t="n"/>
      <c r="O313" s="18" t="n"/>
      <c r="P313" s="5" t="n"/>
      <c r="Q313" s="5" t="inlineStr">
        <is>
          <t>aa29fd93</t>
        </is>
      </c>
    </row>
    <row r="314" ht="62" customHeight="1">
      <c r="A314" s="10" t="inlineStr">
        <is>
          <t>UAT-IOT-004</t>
        </is>
      </c>
      <c r="B314" s="5" t="inlineStr">
        <is>
          <t>Predictive Maintenance / IoT</t>
        </is>
      </c>
      <c r="C314" s="5" t="inlineStr">
        <is>
          <t>Predictive / IoT</t>
        </is>
      </c>
      <c r="D314" s="5" t="inlineStr">
        <is>
          <t>สร้างกฎแจ้งเตือน (Happy path)</t>
        </is>
      </c>
      <c r="E314" s="10" t="inlineStr">
        <is>
          <t>Functional</t>
        </is>
      </c>
      <c r="F314" s="5" t="inlineStr">
        <is>
          <t>มีสิทธิ์ จัดการอุปกรณ์/กฎ IoT</t>
        </is>
      </c>
      <c r="G314" s="5" t="inlineStr">
        <is>
          <t>1. คลิก "กฎแจ้งเตือน" → "+ เพิ่มกฎ"
2. เลือกเซนเซอร์ เงื่อนไข &gt; ค่า 80 นาน 5 นาที
3. แจ้งทาง LINE + Email, สร้าง WO P2
4. กด "บันทึกกฎ"</t>
        </is>
      </c>
      <c r="H314" s="5" t="inlineStr">
        <is>
          <t>TMP-MTR007; &gt; 80 °C; 5 นาที; LINE + Email; P2</t>
        </is>
      </c>
      <c r="I314" s="5" t="inlineStr">
        <is>
          <t>toast "บันทึกกฎแจ้งเตือนสำหรับ … แล้ว"; กฎแสดงในรายการ "ถ้า … &gt; 80 นาน 5 นาที → แจ้ง … · สร้าง WO ระดับ P2"; KPI กฎที่เปิดใช้ +1</t>
        </is>
      </c>
      <c r="J314" s="10" t="inlineStr">
        <is>
          <t>High</t>
        </is>
      </c>
      <c r="K314" s="5" t="inlineStr">
        <is>
          <t>ผู้ดูแลระบบ IT (it.admin)</t>
        </is>
      </c>
      <c r="L314" s="5" t="n"/>
      <c r="M314" s="10" t="inlineStr">
        <is>
          <t>ยังไม่ทดสอบ</t>
        </is>
      </c>
      <c r="N314" s="5" t="n"/>
      <c r="O314" s="18" t="n"/>
      <c r="P314" s="5" t="n"/>
      <c r="Q314" s="5" t="inlineStr">
        <is>
          <t>aa29fd93</t>
        </is>
      </c>
    </row>
    <row r="315" ht="47.5" customHeight="1">
      <c r="A315" s="10" t="inlineStr">
        <is>
          <t>UAT-IOT-005</t>
        </is>
      </c>
      <c r="B315" s="5" t="inlineStr">
        <is>
          <t>Predictive Maintenance / IoT</t>
        </is>
      </c>
      <c r="C315" s="5" t="inlineStr">
        <is>
          <t>Predictive / IoT</t>
        </is>
      </c>
      <c r="D315" s="5" t="inlineStr">
        <is>
          <t>กฎ: ค่าว่าง/ระยะเวลาติดลบ</t>
        </is>
      </c>
      <c r="E315" s="10" t="inlineStr">
        <is>
          <t>Validation</t>
        </is>
      </c>
      <c r="F315" s="5" t="inlineStr">
        <is>
          <t>เปิดฟอร์มกฎ</t>
        </is>
      </c>
      <c r="G315" s="5" t="inlineStr">
        <is>
          <t>1. เว้นว่างค่า
2. กรอกนาน -1 นาที
3. บันทึก</t>
        </is>
      </c>
      <c r="H315" s="5" t="inlineStr">
        <is>
          <t>-</t>
        </is>
      </c>
      <c r="I315" s="5" t="inlineStr">
        <is>
          <t>ไม่บันทึก แจ้งข้อผิดพลาด</t>
        </is>
      </c>
      <c r="J315" s="10" t="inlineStr">
        <is>
          <t>Medium</t>
        </is>
      </c>
      <c r="K315" s="5" t="inlineStr">
        <is>
          <t>ผู้ดูแลระบบ IT (it.admin)</t>
        </is>
      </c>
      <c r="L315" s="5" t="n"/>
      <c r="M315" s="10" t="inlineStr">
        <is>
          <t>ยังไม่ทดสอบ</t>
        </is>
      </c>
      <c r="N315" s="5" t="n"/>
      <c r="O315" s="18" t="n"/>
      <c r="P315" s="5" t="n"/>
      <c r="Q315" s="5" t="inlineStr">
        <is>
          <t>aa29fd93</t>
        </is>
      </c>
    </row>
    <row r="316" ht="47.5" customHeight="1">
      <c r="A316" s="10" t="inlineStr">
        <is>
          <t>UAT-IOT-006</t>
        </is>
      </c>
      <c r="B316" s="5" t="inlineStr">
        <is>
          <t>Predictive Maintenance / IoT</t>
        </is>
      </c>
      <c r="C316" s="5" t="inlineStr">
        <is>
          <t>Predictive / IoT</t>
        </is>
      </c>
      <c r="D316" s="5" t="inlineStr">
        <is>
          <t>IoT alert → สร้าง WO อัตโนมัติตามกฎ</t>
        </is>
      </c>
      <c r="E316" s="10" t="inlineStr">
        <is>
          <t>Functional</t>
        </is>
      </c>
      <c r="F316" s="5" t="inlineStr">
        <is>
          <t>กฎ &gt; 80 °C สร้าง WO P2</t>
        </is>
      </c>
      <c r="G316" s="5" t="inlineStr">
        <is>
          <t>1. ส่งค่าผ่าน API 86.5 °C ต่อเนื่อง 5 นาที
2. ตรวจการแจ้งเตือนล่าสุด
3. ตรวจหน้าใบสั่งงาน</t>
        </is>
      </c>
      <c r="H316" s="5" t="inlineStr">
        <is>
          <t>TMP-MTR007 = 86.5</t>
        </is>
      </c>
      <c r="I316" s="5" t="inlineStr">
        <is>
          <t>ตารางการแจ้งเตือนล่าสุดแสดง เวลา/เซนเซอร์/ค่า/กฎ/การดำเนินการ (สร้าง WO); WO Predictive P2 ถูกสร้าง 1 ใบ (ไม่ซ้ำ); LINE/Email ส่งแล้ว</t>
        </is>
      </c>
      <c r="J316" s="10" t="inlineStr">
        <is>
          <t>High</t>
        </is>
      </c>
      <c r="K316" s="5" t="inlineStr">
        <is>
          <t>ผู้จัดการซ่อมบำรุง (maint.mgr)</t>
        </is>
      </c>
      <c r="L316" s="5" t="n"/>
      <c r="M316" s="10" t="inlineStr">
        <is>
          <t>ยังไม่ทดสอบ</t>
        </is>
      </c>
      <c r="N316" s="5" t="n"/>
      <c r="O316" s="18" t="n"/>
      <c r="P316" s="5" t="n"/>
      <c r="Q316" s="5" t="inlineStr">
        <is>
          <t>aa29fd93</t>
        </is>
      </c>
    </row>
    <row r="317" ht="33" customHeight="1">
      <c r="A317" s="10" t="inlineStr">
        <is>
          <t>UAT-IOT-007</t>
        </is>
      </c>
      <c r="B317" s="5" t="inlineStr">
        <is>
          <t>Predictive Maintenance / IoT</t>
        </is>
      </c>
      <c r="C317" s="5" t="inlineStr">
        <is>
          <t>Predictive / IoT</t>
        </is>
      </c>
      <c r="D317" s="5" t="inlineStr">
        <is>
          <t>ไม่สร้าง WO ซ้ำขณะยังมีงานเปิด</t>
        </is>
      </c>
      <c r="E317" s="10" t="inlineStr">
        <is>
          <t>Negative</t>
        </is>
      </c>
      <c r="F317" s="5" t="inlineStr">
        <is>
          <t>มี WO Predictive เปิดอยู่จากกฎเดียวกัน</t>
        </is>
      </c>
      <c r="G317" s="5" t="inlineStr">
        <is>
          <t>1. ส่งค่าเกินเกณฑ์อีกครั้ง</t>
        </is>
      </c>
      <c r="H317" s="5" t="inlineStr">
        <is>
          <t>-</t>
        </is>
      </c>
      <c r="I317" s="5" t="inlineStr">
        <is>
          <t>ไม่สร้าง WO ใหม่ แต่บันทึกเหตุการณ์และอ้างอิง WO เดิม</t>
        </is>
      </c>
      <c r="J317" s="10" t="inlineStr">
        <is>
          <t>High</t>
        </is>
      </c>
      <c r="K317" s="5" t="inlineStr">
        <is>
          <t>ผู้จัดการซ่อมบำรุง (maint.mgr)</t>
        </is>
      </c>
      <c r="L317" s="5" t="n"/>
      <c r="M317" s="10" t="inlineStr">
        <is>
          <t>ยังไม่ทดสอบ</t>
        </is>
      </c>
      <c r="N317" s="5" t="n"/>
      <c r="O317" s="18" t="n"/>
      <c r="P317" s="5" t="n"/>
      <c r="Q317" s="5" t="inlineStr">
        <is>
          <t>aa29fd93</t>
        </is>
      </c>
    </row>
    <row r="318" ht="47.5" customHeight="1">
      <c r="A318" s="10" t="inlineStr">
        <is>
          <t>UAT-IOT-008</t>
        </is>
      </c>
      <c r="B318" s="5" t="inlineStr">
        <is>
          <t>Predictive Maintenance / IoT</t>
        </is>
      </c>
      <c r="C318" s="5" t="inlineStr">
        <is>
          <t>Predictive / IoT</t>
        </is>
      </c>
      <c r="D318" s="5" t="inlineStr">
        <is>
          <t>เพิ่มอุปกรณ์/เซนเซอร์</t>
        </is>
      </c>
      <c r="E318" s="10" t="inlineStr">
        <is>
          <t>Functional</t>
        </is>
      </c>
      <c r="F318" s="5" t="inlineStr">
        <is>
          <t>มีสิทธิ์ จัดการอุปกรณ์</t>
        </is>
      </c>
      <c r="G318" s="5" t="inlineStr">
        <is>
          <t>1. คลิก "+ อุปกรณ์/เซนเซอร์"
2. กรอกรหัสอุปกรณ์ ติดตั้งที่ทรัพย์สิน ค่าที่วัด หน่วย
3. เพิ่ม</t>
        </is>
      </c>
      <c r="H318" s="5" t="inlineStr">
        <is>
          <t>VIB-PUMP01; PMP-11; การสั่นสะเทือน; mm/s</t>
        </is>
      </c>
      <c r="I318" s="5" t="inlineStr">
        <is>
          <t>อุปกรณ์ใหม่แสดงในรายการ KPI อุปกรณ์ทั้งหมด +1</t>
        </is>
      </c>
      <c r="J318" s="10" t="inlineStr">
        <is>
          <t>High</t>
        </is>
      </c>
      <c r="K318" s="5" t="inlineStr">
        <is>
          <t>ผู้ดูแลระบบ IT (it.admin)</t>
        </is>
      </c>
      <c r="L318" s="5" t="n"/>
      <c r="M318" s="10" t="inlineStr">
        <is>
          <t>ยังไม่ทดสอบ</t>
        </is>
      </c>
      <c r="N318" s="5" t="n"/>
      <c r="O318" s="18" t="n"/>
      <c r="P318" s="5" t="inlineStr">
        <is>
          <t>ฟอร์มเพิ่มอุปกรณ์อ้างอิงระบบเดิม (device_code บังคับ, ตัวพิมพ์ใหญ่, ≤40 ตัว)</t>
        </is>
      </c>
      <c r="Q318" s="5" t="inlineStr">
        <is>
          <t>aa29fd93</t>
        </is>
      </c>
    </row>
    <row r="319" ht="33" customHeight="1">
      <c r="A319" s="10" t="inlineStr">
        <is>
          <t>UAT-IOT-009</t>
        </is>
      </c>
      <c r="B319" s="5" t="inlineStr">
        <is>
          <t>Predictive Maintenance / IoT</t>
        </is>
      </c>
      <c r="C319" s="5" t="inlineStr">
        <is>
          <t>Predictive / IoT</t>
        </is>
      </c>
      <c r="D319" s="5" t="inlineStr">
        <is>
          <t>รหัสอุปกรณ์ซ้ำ/ตัวพิมพ์เล็ก</t>
        </is>
      </c>
      <c r="E319" s="10" t="inlineStr">
        <is>
          <t>Validation</t>
        </is>
      </c>
      <c r="F319" s="5" t="inlineStr">
        <is>
          <t>เปิดฟอร์มเพิ่มอุปกรณ์</t>
        </is>
      </c>
      <c r="G319" s="5" t="inlineStr">
        <is>
          <t>1. กรอกรหัสซ้ำ TMP-MTR007
2. กรอก vib-pump02</t>
        </is>
      </c>
      <c r="H319" s="5" t="inlineStr">
        <is>
          <t>-</t>
        </is>
      </c>
      <c r="I319" s="5" t="inlineStr">
        <is>
          <t>รหัสซ้ำถูกปฏิเสธ; ตัวพิมพ์เล็กถูกแปลงเป็นตัวพิมพ์ใหญ่</t>
        </is>
      </c>
      <c r="J319" s="10" t="inlineStr">
        <is>
          <t>Medium</t>
        </is>
      </c>
      <c r="K319" s="5" t="inlineStr">
        <is>
          <t>ผู้ดูแลระบบ IT (it.admin)</t>
        </is>
      </c>
      <c r="L319" s="5" t="n"/>
      <c r="M319" s="10" t="inlineStr">
        <is>
          <t>ยังไม่ทดสอบ</t>
        </is>
      </c>
      <c r="N319" s="5" t="n"/>
      <c r="O319" s="18" t="n"/>
      <c r="P319" s="5" t="n"/>
      <c r="Q319" s="5" t="inlineStr">
        <is>
          <t>aa29fd93</t>
        </is>
      </c>
    </row>
    <row r="320" ht="33" customHeight="1">
      <c r="A320" s="10" t="inlineStr">
        <is>
          <t>UAT-IOT-010</t>
        </is>
      </c>
      <c r="B320" s="5" t="inlineStr">
        <is>
          <t>Predictive Maintenance / IoT</t>
        </is>
      </c>
      <c r="C320" s="5" t="inlineStr">
        <is>
          <t>Predictive / IoT</t>
        </is>
      </c>
      <c r="D320" s="5" t="inlineStr">
        <is>
          <t>เซนเซอร์ออฟไลน์</t>
        </is>
      </c>
      <c r="E320" s="10" t="inlineStr">
        <is>
          <t>UI</t>
        </is>
      </c>
      <c r="F320" s="5" t="inlineStr">
        <is>
          <t>VIB-CMP02 ไม่ส่งค่ามากกว่า 1 ชม.</t>
        </is>
      </c>
      <c r="G320" s="5" t="inlineStr">
        <is>
          <t>1. ตรวจการ์ด/KPI ออนไลน์ (1 ชม.)</t>
        </is>
      </c>
      <c r="H320" s="5" t="inlineStr">
        <is>
          <t>-</t>
        </is>
      </c>
      <c r="I320" s="5" t="inlineStr">
        <is>
          <t>การ์ดแสดง "ออฟไลน์" สีเทา/เตือน; KPI ออนไลน์ไม่นับ</t>
        </is>
      </c>
      <c r="J320" s="10" t="inlineStr">
        <is>
          <t>Medium</t>
        </is>
      </c>
      <c r="K320" s="5" t="inlineStr">
        <is>
          <t>ผู้ดูแลระบบ IT (it.admin)</t>
        </is>
      </c>
      <c r="L320" s="5" t="n"/>
      <c r="M320" s="10" t="inlineStr">
        <is>
          <t>ยังไม่ทดสอบ</t>
        </is>
      </c>
      <c r="N320" s="5" t="n"/>
      <c r="O320" s="18" t="n"/>
      <c r="P320" s="5" t="n"/>
      <c r="Q320" s="5" t="inlineStr">
        <is>
          <t>aa29fd93</t>
        </is>
      </c>
    </row>
    <row r="321" ht="33" customHeight="1">
      <c r="A321" s="10" t="inlineStr">
        <is>
          <t>UAT-IOT-011</t>
        </is>
      </c>
      <c r="B321" s="5" t="inlineStr">
        <is>
          <t>Predictive Maintenance / IoT</t>
        </is>
      </c>
      <c r="C321" s="5" t="inlineStr">
        <is>
          <t>Predictive / IoT</t>
        </is>
      </c>
      <c r="D321" s="5" t="inlineStr">
        <is>
          <t>ปุ่ม "วิธีเชื่อมต่อ API"</t>
        </is>
      </c>
      <c r="E321" s="10" t="inlineStr">
        <is>
          <t>Functional</t>
        </is>
      </c>
      <c r="F321" s="5" t="inlineStr">
        <is>
          <t>เข้าสู่ระบบแล้ว</t>
        </is>
      </c>
      <c r="G321" s="5" t="inlineStr">
        <is>
          <t>1. คลิก วิธีเชื่อมต่อ API</t>
        </is>
      </c>
      <c r="H321" s="5" t="inlineStr">
        <is>
          <t>-</t>
        </is>
      </c>
      <c r="I321" s="5" t="inlineStr">
        <is>
          <t>แสดงตัวอย่าง endpoint POST /api/v1/assets/{tag}/meter และวิธีใช้ Bearer token</t>
        </is>
      </c>
      <c r="J321" s="10" t="inlineStr">
        <is>
          <t>Low</t>
        </is>
      </c>
      <c r="K321" s="5" t="inlineStr">
        <is>
          <t>ผู้ดูแลระบบ IT (it.admin)</t>
        </is>
      </c>
      <c r="L321" s="5" t="n"/>
      <c r="M321" s="10" t="inlineStr">
        <is>
          <t>ยังไม่ทดสอบ</t>
        </is>
      </c>
      <c r="N321" s="5" t="n"/>
      <c r="O321" s="18" t="n"/>
      <c r="P321" s="5" t="inlineStr">
        <is>
          <t>ปุ่มจากระบบเดิม</t>
        </is>
      </c>
      <c r="Q321" s="5" t="inlineStr">
        <is>
          <t>aa29fd93</t>
        </is>
      </c>
    </row>
    <row r="322" ht="33" customHeight="1">
      <c r="A322" s="10" t="inlineStr">
        <is>
          <t>UAT-IOT-012</t>
        </is>
      </c>
      <c r="B322" s="5" t="inlineStr">
        <is>
          <t>Predictive Maintenance / IoT</t>
        </is>
      </c>
      <c r="C322" s="5" t="inlineStr">
        <is>
          <t>Predictive / IoT</t>
        </is>
      </c>
      <c r="D322" s="5" t="inlineStr">
        <is>
          <t>ช่างดูได้แต่แก้กฎไม่ได้</t>
        </is>
      </c>
      <c r="E322" s="10" t="inlineStr">
        <is>
          <t>Permission</t>
        </is>
      </c>
      <c r="F322" s="5" t="inlineStr">
        <is>
          <t>ล็อกอินเป็นช่าง</t>
        </is>
      </c>
      <c r="G322" s="5" t="inlineStr">
        <is>
          <t>1. เปิดหน้า IoT</t>
        </is>
      </c>
      <c r="H322" s="5" t="inlineStr">
        <is>
          <t>-</t>
        </is>
      </c>
      <c r="I322" s="5" t="inlineStr">
        <is>
          <t>ไม่มีปุ่ม เพิ่มกฎ/อุปกรณ์</t>
        </is>
      </c>
      <c r="J322" s="10" t="inlineStr">
        <is>
          <t>High</t>
        </is>
      </c>
      <c r="K322" s="5" t="inlineStr">
        <is>
          <t>ช่างซ่อมบำรุง (somchai)</t>
        </is>
      </c>
      <c r="L322" s="5" t="n"/>
      <c r="M322" s="10" t="inlineStr">
        <is>
          <t>ยังไม่ทดสอบ</t>
        </is>
      </c>
      <c r="N322" s="5" t="n"/>
      <c r="O322" s="18" t="n"/>
      <c r="P322" s="5" t="n"/>
      <c r="Q322" s="5" t="inlineStr">
        <is>
          <t>aa29fd93</t>
        </is>
      </c>
    </row>
    <row r="323" ht="33" customHeight="1">
      <c r="A323" s="10" t="inlineStr">
        <is>
          <t>UAT-IOT-013</t>
        </is>
      </c>
      <c r="B323" s="5" t="inlineStr">
        <is>
          <t>Predictive Maintenance / IoT</t>
        </is>
      </c>
      <c r="C323" s="5" t="inlineStr">
        <is>
          <t>Predictive / IoT</t>
        </is>
      </c>
      <c r="D323" s="5" t="inlineStr">
        <is>
          <t>แจ้งเตือนในกระดิ่ง</t>
        </is>
      </c>
      <c r="E323" s="10" t="inlineStr">
        <is>
          <t>Functional</t>
        </is>
      </c>
      <c r="F323" s="5" t="inlineStr">
        <is>
          <t>มีเหตุการณ์ใหม่</t>
        </is>
      </c>
      <c r="G323" s="5" t="inlineStr">
        <is>
          <t>1. คลิกกระดิ่ง</t>
        </is>
      </c>
      <c r="H323" s="5" t="inlineStr">
        <is>
          <t>-</t>
        </is>
      </c>
      <c r="I323" s="5" t="inlineStr">
        <is>
          <t>แสดง "มี n การแจ้งเตือนใหม่ · ล่าสุด TMP-MTR007 86.5°C"</t>
        </is>
      </c>
      <c r="J323" s="10" t="inlineStr">
        <is>
          <t>Low</t>
        </is>
      </c>
      <c r="K323" s="5" t="inlineStr">
        <is>
          <t>ผู้จัดการซ่อมบำรุง (maint.mgr)</t>
        </is>
      </c>
      <c r="L323" s="5" t="n"/>
      <c r="M323" s="10" t="inlineStr">
        <is>
          <t>ยังไม่ทดสอบ</t>
        </is>
      </c>
      <c r="N323" s="5" t="n"/>
      <c r="O323" s="18" t="n"/>
      <c r="P323" s="5" t="n"/>
      <c r="Q323" s="5" t="inlineStr">
        <is>
          <t>aa29fd93</t>
        </is>
      </c>
    </row>
    <row r="324" ht="47.5" customHeight="1">
      <c r="A324" s="10" t="inlineStr">
        <is>
          <t>UAT-IOT-014</t>
        </is>
      </c>
      <c r="B324" s="5" t="inlineStr">
        <is>
          <t>Predictive Maintenance / IoT</t>
        </is>
      </c>
      <c r="C324" s="5" t="inlineStr">
        <is>
          <t>Predictive / IoT</t>
        </is>
      </c>
      <c r="D324" s="5" t="inlineStr">
        <is>
          <t>ค้นหาไม่พบข้อมูล (Predictive / IoT)</t>
        </is>
      </c>
      <c r="E324" s="10" t="inlineStr">
        <is>
          <t>Negative</t>
        </is>
      </c>
      <c r="F324" s="5" t="inlineStr">
        <is>
          <t>เข้าสู่ระบบแล้ว และอยู่ที่หน้าPredictive / IoT</t>
        </is>
      </c>
      <c r="G324" s="5" t="inlineStr">
        <is>
          <t>1. พิมพ์คำค้นที่ไม่มีอยู่จริงในช่อง "ค้นหาทรัพย์สิน, ใบงาน, เซนเซอร์…"
2. สังเกตตาราง/รายการ</t>
        </is>
      </c>
      <c r="H324" s="5" t="inlineStr">
        <is>
          <t>คำค้น: ZZZ-NOTFOUND-999</t>
        </is>
      </c>
      <c r="I324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24" s="10" t="inlineStr">
        <is>
          <t>Low</t>
        </is>
      </c>
      <c r="K324" s="5" t="inlineStr">
        <is>
          <t>ผู้จัดการซ่อมบำรุง (maint.mgr)</t>
        </is>
      </c>
      <c r="L324" s="5" t="n"/>
      <c r="M324" s="10" t="inlineStr">
        <is>
          <t>ยังไม่ทดสอบ</t>
        </is>
      </c>
      <c r="N324" s="5" t="n"/>
      <c r="O324" s="18" t="n"/>
      <c r="P324" s="5" t="n"/>
      <c r="Q324" s="5" t="inlineStr">
        <is>
          <t>aa29fd93</t>
        </is>
      </c>
    </row>
    <row r="325" ht="47.5" customHeight="1">
      <c r="A325" s="10" t="inlineStr">
        <is>
          <t>UAT-IOT-015</t>
        </is>
      </c>
      <c r="B325" s="5" t="inlineStr">
        <is>
          <t>Predictive Maintenance / IoT</t>
        </is>
      </c>
      <c r="C325" s="5" t="inlineStr">
        <is>
          <t>Predictive / IoT</t>
        </is>
      </c>
      <c r="D325" s="5" t="inlineStr">
        <is>
          <t>ค้นหาด้วยคำค้นที่มีอยู่จริง (Predictive / IoT)</t>
        </is>
      </c>
      <c r="E325" s="10" t="inlineStr">
        <is>
          <t>Functional</t>
        </is>
      </c>
      <c r="F325" s="5" t="inlineStr">
        <is>
          <t>เข้าสู่ระบบแล้ว และอยู่ที่หน้าPredictive / IoT</t>
        </is>
      </c>
      <c r="G325" s="5" t="inlineStr">
        <is>
          <t>1. พิมพ์คำค้นในช่อง "ค้นหาทรัพย์สิน, ใบงาน, เซนเซอร์…"
2. ตรวจรายการที่แสดง
3. ล้างคำค้น</t>
        </is>
      </c>
      <c r="H325" s="5" t="inlineStr">
        <is>
          <t>คำค้น: มอเตอร์ ABB</t>
        </is>
      </c>
      <c r="I325" s="5" t="inlineStr">
        <is>
          <t>แสดงเฉพาะรายการที่ตรงกับคำค้น (การ์ด มอเตอร์ ABB 45kW); เมื่อล้างคำค้นรายการกลับมาครบ</t>
        </is>
      </c>
      <c r="J325" s="10" t="inlineStr">
        <is>
          <t>Medium</t>
        </is>
      </c>
      <c r="K325" s="5" t="inlineStr">
        <is>
          <t>ผู้จัดการซ่อมบำรุง (maint.mgr)</t>
        </is>
      </c>
      <c r="L325" s="5" t="n"/>
      <c r="M325" s="10" t="inlineStr">
        <is>
          <t>ยังไม่ทดสอบ</t>
        </is>
      </c>
      <c r="N325" s="5" t="n"/>
      <c r="O325" s="18" t="n"/>
      <c r="P325" s="5" t="n"/>
      <c r="Q325" s="5" t="inlineStr">
        <is>
          <t>aa29fd93</t>
        </is>
      </c>
    </row>
    <row r="326" ht="62" customHeight="1">
      <c r="A326" s="10" t="inlineStr">
        <is>
          <t>UAT-IOT-016</t>
        </is>
      </c>
      <c r="B326" s="5" t="inlineStr">
        <is>
          <t>Predictive Maintenance / IoT</t>
        </is>
      </c>
      <c r="C326" s="5" t="inlineStr">
        <is>
          <t>Predictive / IoT</t>
        </is>
      </c>
      <c r="D326" s="5" t="inlineStr">
        <is>
          <t>แสดงผลบนมือถือ 375px (Predictive / IoT)</t>
        </is>
      </c>
      <c r="E326" s="10" t="inlineStr">
        <is>
          <t>Responsive</t>
        </is>
      </c>
      <c r="F326" s="5" t="inlineStr">
        <is>
          <t>เข้าสู่ระบบแล้ว; เปิด DevTools โหมดอุปกรณ์ iPhone SE/375×667</t>
        </is>
      </c>
      <c r="G326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326" s="5" t="inlineStr">
        <is>
          <t>ความกว้าง 375px</t>
        </is>
      </c>
      <c r="I326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326" s="10" t="inlineStr">
        <is>
          <t>Medium</t>
        </is>
      </c>
      <c r="K326" s="5" t="inlineStr">
        <is>
          <t>ผู้จัดการซ่อมบำรุง (maint.mgr)</t>
        </is>
      </c>
      <c r="L326" s="5" t="n"/>
      <c r="M326" s="10" t="inlineStr">
        <is>
          <t>ยังไม่ทดสอบ</t>
        </is>
      </c>
      <c r="N326" s="5" t="n"/>
      <c r="O326" s="18" t="n"/>
      <c r="P326" s="5" t="n"/>
      <c r="Q326" s="5" t="inlineStr">
        <is>
          <t>aa29fd93</t>
        </is>
      </c>
    </row>
    <row r="327" ht="62" customHeight="1">
      <c r="A327" s="10" t="inlineStr">
        <is>
          <t>UAT-IOT-017</t>
        </is>
      </c>
      <c r="B327" s="5" t="inlineStr">
        <is>
          <t>Predictive Maintenance / IoT</t>
        </is>
      </c>
      <c r="C327" s="5" t="inlineStr">
        <is>
          <t>Predictive / IoT</t>
        </is>
      </c>
      <c r="D327" s="5" t="inlineStr">
        <is>
          <t>แสดงผลบน Desktop 1920px และความอ่านง่ายธีมมืด (Predictive / IoT)</t>
        </is>
      </c>
      <c r="E327" s="10" t="inlineStr">
        <is>
          <t>UI</t>
        </is>
      </c>
      <c r="F327" s="5" t="inlineStr">
        <is>
          <t>เข้าสู่ระบบแล้ว; หน้าจอ 1920×1080</t>
        </is>
      </c>
      <c r="G327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327" s="5" t="inlineStr">
        <is>
          <t>ความกว้าง 1920px</t>
        </is>
      </c>
      <c r="I327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327" s="10" t="inlineStr">
        <is>
          <t>Low</t>
        </is>
      </c>
      <c r="K327" s="5" t="inlineStr">
        <is>
          <t>ผู้จัดการซ่อมบำรุง (maint.mgr)</t>
        </is>
      </c>
      <c r="L327" s="5" t="n"/>
      <c r="M327" s="10" t="inlineStr">
        <is>
          <t>ยังไม่ทดสอบ</t>
        </is>
      </c>
      <c r="N327" s="5" t="n"/>
      <c r="O327" s="18" t="n"/>
      <c r="P327" s="5" t="n"/>
      <c r="Q327" s="5" t="inlineStr">
        <is>
          <t>aa29fd93</t>
        </is>
      </c>
    </row>
    <row r="328" ht="47.5" customHeight="1">
      <c r="A328" s="10" t="inlineStr">
        <is>
          <t>UAT-CLB-001</t>
        </is>
      </c>
      <c r="B328" s="5" t="inlineStr">
        <is>
          <t>สอบเทียบเครื่องมือวัด (Calibration)</t>
        </is>
      </c>
      <c r="C328" s="5" t="inlineStr">
        <is>
          <t>สอบเทียบเครื่องมือวัด</t>
        </is>
      </c>
      <c r="D328" s="5" t="inlineStr">
        <is>
          <t>Chip สถานะและรายการเครื่องมือ</t>
        </is>
      </c>
      <c r="E328" s="10" t="inlineStr">
        <is>
          <t>UI</t>
        </is>
      </c>
      <c r="F328" s="5" t="inlineStr">
        <is>
          <t>เข้าสู่ระบบแล้ว</t>
        </is>
      </c>
      <c r="G328" s="5" t="inlineStr">
        <is>
          <t>1. เปิดหน้าสอบเทียบ</t>
        </is>
      </c>
      <c r="H328" s="5" t="inlineStr">
        <is>
          <t>-</t>
        </is>
      </c>
      <c r="I328" s="5" t="inlineStr">
        <is>
          <t>Chip ทั้งหมด/เกินกำหนด/ภายใน 30 วัน/ไม่ผ่าน/รอผล/ปกติ พร้อมจำนวน; การ์ดแสดง รอบ/เกณฑ์, สอบเทียบล่าสุด, ครบกำหนด (อีก n วัน), ผล/ใบรับรอง, ผู้ให้บริการ</t>
        </is>
      </c>
      <c r="J328" s="10" t="inlineStr">
        <is>
          <t>Medium</t>
        </is>
      </c>
      <c r="K328" s="5" t="inlineStr">
        <is>
          <t>ผู้จัดการซ่อมบำรุง (maint.mgr)</t>
        </is>
      </c>
      <c r="L328" s="5" t="n"/>
      <c r="M328" s="10" t="inlineStr">
        <is>
          <t>ยังไม่ทดสอบ</t>
        </is>
      </c>
      <c r="N328" s="5" t="n"/>
      <c r="O328" s="18" t="n"/>
      <c r="P328" s="5" t="n"/>
      <c r="Q328" s="5" t="inlineStr">
        <is>
          <t>2074c75a</t>
        </is>
      </c>
    </row>
    <row r="329" ht="33" customHeight="1">
      <c r="A329" s="10" t="inlineStr">
        <is>
          <t>UAT-CLB-002</t>
        </is>
      </c>
      <c r="B329" s="5" t="inlineStr">
        <is>
          <t>สอบเทียบเครื่องมือวัด (Calibration)</t>
        </is>
      </c>
      <c r="C329" s="5" t="inlineStr">
        <is>
          <t>สอบเทียบเครื่องมือวัด</t>
        </is>
      </c>
      <c r="D329" s="5" t="inlineStr">
        <is>
          <t>กรองด้วย chip</t>
        </is>
      </c>
      <c r="E329" s="10" t="inlineStr">
        <is>
          <t>Functional</t>
        </is>
      </c>
      <c r="F329" s="5" t="inlineStr">
        <is>
          <t>เข้าสู่ระบบแล้ว</t>
        </is>
      </c>
      <c r="G329" s="5" t="inlineStr">
        <is>
          <t>1. คลิก "ภายใน 30 วัน"
2. คลิก "ไม่ผ่าน"</t>
        </is>
      </c>
      <c r="H329" s="5" t="inlineStr">
        <is>
          <t>-</t>
        </is>
      </c>
      <c r="I329" s="5" t="inlineStr">
        <is>
          <t>แสดงตามสถานะ; ไม่มีรายการแสดง "ไม่พบเครื่องมือในสถานะนี้"</t>
        </is>
      </c>
      <c r="J329" s="10" t="inlineStr">
        <is>
          <t>Medium</t>
        </is>
      </c>
      <c r="K329" s="5" t="inlineStr">
        <is>
          <t>ผู้จัดการซ่อมบำรุง (maint.mgr)</t>
        </is>
      </c>
      <c r="L329" s="5" t="n"/>
      <c r="M329" s="10" t="inlineStr">
        <is>
          <t>ยังไม่ทดสอบ</t>
        </is>
      </c>
      <c r="N329" s="5" t="n"/>
      <c r="O329" s="18" t="n"/>
      <c r="P329" s="5" t="n"/>
      <c r="Q329" s="5" t="inlineStr">
        <is>
          <t>2074c75a</t>
        </is>
      </c>
    </row>
    <row r="330" ht="62" customHeight="1">
      <c r="A330" s="10" t="inlineStr">
        <is>
          <t>UAT-CLB-003</t>
        </is>
      </c>
      <c r="B330" s="5" t="inlineStr">
        <is>
          <t>สอบเทียบเครื่องมือวัด (Calibration)</t>
        </is>
      </c>
      <c r="C330" s="5" t="inlineStr">
        <is>
          <t>สอบเทียบเครื่องมือวัด</t>
        </is>
      </c>
      <c r="D330" s="5" t="inlineStr">
        <is>
          <t>ลงทะเบียนเครื่องมือวัด</t>
        </is>
      </c>
      <c r="E330" s="10" t="inlineStr">
        <is>
          <t>Functional</t>
        </is>
      </c>
      <c r="F330" s="5" t="inlineStr">
        <is>
          <t>มีทรัพย์สินหมวด "ต้องสอบเทียบ" ที่ยังไม่ลงทะเบียน</t>
        </is>
      </c>
      <c r="G330" s="5" t="inlineStr">
        <is>
          <t>1. คลิก "+ ลงทะเบียนเครื่องมือ"
2. เลือกทรัพย์สิน กรอกรอบ (เดือน) เกณฑ์ ช่วงการวัด แจ้งเตือนล่วงหน้า ผู้ให้บริการ
3. บันทึก</t>
        </is>
      </c>
      <c r="H330" s="5" t="inlineStr">
        <is>
          <t>TRQ-003 ประแจทอร์ค; 12 เดือน; ±4%; 20–100 N·m; แจ้งล่วงหน้า 30 วัน; บริษัท สยามคาลิเบรชั่น แล็บ จำกัด</t>
        </is>
      </c>
      <c r="I330" s="5" t="inlineStr">
        <is>
          <t>toast "ลงทะเบียน TRQ-003 … แล้ว · รอผลสอบเทียบครั้งแรก"; การ์ดใหม่สถานะ "รอผล"</t>
        </is>
      </c>
      <c r="J330" s="10" t="inlineStr">
        <is>
          <t>High</t>
        </is>
      </c>
      <c r="K330" s="5" t="inlineStr">
        <is>
          <t>ผู้จัดการซ่อมบำรุง (maint.mgr)</t>
        </is>
      </c>
      <c r="L330" s="5" t="n"/>
      <c r="M330" s="10" t="inlineStr">
        <is>
          <t>ยังไม่ทดสอบ</t>
        </is>
      </c>
      <c r="N330" s="5" t="n"/>
      <c r="O330" s="18" t="n"/>
      <c r="P330" s="5" t="n"/>
      <c r="Q330" s="5" t="inlineStr">
        <is>
          <t>2074c75a</t>
        </is>
      </c>
    </row>
    <row r="331" ht="33" customHeight="1">
      <c r="A331" s="10" t="inlineStr">
        <is>
          <t>UAT-CLB-004</t>
        </is>
      </c>
      <c r="B331" s="5" t="inlineStr">
        <is>
          <t>สอบเทียบเครื่องมือวัด (Calibration)</t>
        </is>
      </c>
      <c r="C331" s="5" t="inlineStr">
        <is>
          <t>สอบเทียบเครื่องมือวัด</t>
        </is>
      </c>
      <c r="D331" s="5" t="inlineStr">
        <is>
          <t>ลงทะเบียนซ้ำ</t>
        </is>
      </c>
      <c r="E331" s="10" t="inlineStr">
        <is>
          <t>Negative</t>
        </is>
      </c>
      <c r="F331" s="5" t="inlineStr">
        <is>
          <t>TRQ-003 ลงทะเบียนแล้ว</t>
        </is>
      </c>
      <c r="G331" s="5" t="inlineStr">
        <is>
          <t>1. ลงทะเบียน TRQ-003 อีกครั้ง</t>
        </is>
      </c>
      <c r="H331" s="5" t="inlineStr">
        <is>
          <t>-</t>
        </is>
      </c>
      <c r="I331" s="5" t="inlineStr">
        <is>
          <t>แจ้ง "TRQ-003 ลงทะเบียนไว้แล้ว"</t>
        </is>
      </c>
      <c r="J331" s="10" t="inlineStr">
        <is>
          <t>Medium</t>
        </is>
      </c>
      <c r="K331" s="5" t="inlineStr">
        <is>
          <t>ผู้จัดการซ่อมบำรุง (maint.mgr)</t>
        </is>
      </c>
      <c r="L331" s="5" t="n"/>
      <c r="M331" s="10" t="inlineStr">
        <is>
          <t>ยังไม่ทดสอบ</t>
        </is>
      </c>
      <c r="N331" s="5" t="n"/>
      <c r="O331" s="18" t="n"/>
      <c r="P331" s="5" t="n"/>
      <c r="Q331" s="5" t="inlineStr">
        <is>
          <t>2074c75a</t>
        </is>
      </c>
    </row>
    <row r="332" ht="33" customHeight="1">
      <c r="A332" s="10" t="inlineStr">
        <is>
          <t>UAT-CLB-005</t>
        </is>
      </c>
      <c r="B332" s="5" t="inlineStr">
        <is>
          <t>สอบเทียบเครื่องมือวัด (Calibration)</t>
        </is>
      </c>
      <c r="C332" s="5" t="inlineStr">
        <is>
          <t>สอบเทียบเครื่องมือวัด</t>
        </is>
      </c>
      <c r="D332" s="5" t="inlineStr">
        <is>
          <t>ไม่มีทรัพย์สินที่ลงทะเบียนได้</t>
        </is>
      </c>
      <c r="E332" s="10" t="inlineStr">
        <is>
          <t>Negative</t>
        </is>
      </c>
      <c r="F332" s="5" t="inlineStr">
        <is>
          <t>ไม่มีทรัพย์สินหมวดต้องสอบเทียบเหลือ</t>
        </is>
      </c>
      <c r="G332" s="5" t="inlineStr">
        <is>
          <t>1. คลิก ลงทะเบียนเครื่องมือ</t>
        </is>
      </c>
      <c r="H332" s="5" t="inlineStr">
        <is>
          <t>-</t>
        </is>
      </c>
      <c r="I332" s="5" t="inlineStr">
        <is>
          <t>แสดงข้อความ "ไม่มีเครื่องมือที่รอลงทะเบียน — ต้องอยู่ในหมวด ต้องสอบเทียบ"</t>
        </is>
      </c>
      <c r="J332" s="10" t="inlineStr">
        <is>
          <t>Low</t>
        </is>
      </c>
      <c r="K332" s="5" t="inlineStr">
        <is>
          <t>ผู้จัดการซ่อมบำรุง (maint.mgr)</t>
        </is>
      </c>
      <c r="L332" s="5" t="n"/>
      <c r="M332" s="10" t="inlineStr">
        <is>
          <t>ยังไม่ทดสอบ</t>
        </is>
      </c>
      <c r="N332" s="5" t="n"/>
      <c r="O332" s="18" t="n"/>
      <c r="P332" s="5" t="n"/>
      <c r="Q332" s="5" t="inlineStr">
        <is>
          <t>2074c75a</t>
        </is>
      </c>
    </row>
    <row r="333" ht="76.5" customHeight="1">
      <c r="A333" s="10" t="inlineStr">
        <is>
          <t>UAT-CLB-006</t>
        </is>
      </c>
      <c r="B333" s="5" t="inlineStr">
        <is>
          <t>สอบเทียบเครื่องมือวัด (Calibration)</t>
        </is>
      </c>
      <c r="C333" s="5" t="inlineStr">
        <is>
          <t>สอบเทียบเครื่องมือวัด</t>
        </is>
      </c>
      <c r="D333" s="5" t="inlineStr">
        <is>
          <t>เพิ่มฟิลด์เพิ่มเติม (Custom Field) ในฟอร์มลงทะเบียนเครื่องมือวัด</t>
        </is>
      </c>
      <c r="E333" s="10" t="inlineStr">
        <is>
          <t>Functional</t>
        </is>
      </c>
      <c r="F333" s="5" t="inlineStr">
        <is>
          <t>เข้าสู่ระบบแล้ว; เปิดฟอร์มลงทะเบียนเครื่องมือวัด</t>
        </is>
      </c>
      <c r="G333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333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333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333" s="10" t="inlineStr">
        <is>
          <t>Medium</t>
        </is>
      </c>
      <c r="K333" s="5" t="inlineStr">
        <is>
          <t>ผู้จัดการซ่อมบำรุง (maint.mgr)</t>
        </is>
      </c>
      <c r="L333" s="5" t="n"/>
      <c r="M333" s="10" t="inlineStr">
        <is>
          <t>ยังไม่ทดสอบ</t>
        </is>
      </c>
      <c r="N333" s="5" t="n"/>
      <c r="O333" s="18" t="n"/>
      <c r="P333" s="5" t="n"/>
      <c r="Q333" s="5" t="inlineStr">
        <is>
          <t>2074c75a</t>
        </is>
      </c>
    </row>
    <row r="334" ht="62" customHeight="1">
      <c r="A334" s="10" t="inlineStr">
        <is>
          <t>UAT-CLB-007</t>
        </is>
      </c>
      <c r="B334" s="5" t="inlineStr">
        <is>
          <t>สอบเทียบเครื่องมือวัด (Calibration)</t>
        </is>
      </c>
      <c r="C334" s="5" t="inlineStr">
        <is>
          <t>สอบเทียบเครื่องมือวัด</t>
        </is>
      </c>
      <c r="D334" s="5" t="inlineStr">
        <is>
          <t>บันทึกผลสอบเทียบ: ผ่าน</t>
        </is>
      </c>
      <c r="E334" s="10" t="inlineStr">
        <is>
          <t>Functional</t>
        </is>
      </c>
      <c r="F334" s="5" t="inlineStr">
        <is>
          <t>GAU-011 ใกล้ครบกำหนด</t>
        </is>
      </c>
      <c r="G334" s="5" t="inlineStr">
        <is>
          <t>1. คลิก "บันทึกผล"
2. กรอกวันที่สอบเทียบ จุดวัด ค่าอ้างอิง/ค่าที่อ่านได้ ผล เลขใบรับรอง แนบไฟล์
3. บันทึกผล</t>
        </is>
      </c>
      <c r="H334" s="5" t="inlineStr">
        <is>
          <t>วันที่ 20/10/2569; P1 ref 5.000 อ่าน 5.003; ผล ผ่าน; CAL-69-01234; ไฟล์ใบรับรอง.pdf</t>
        </is>
      </c>
      <c r="I334" s="5" t="inlineStr">
        <is>
          <t>ตาราง Error คำนวณอัตโนมัติและคอลัมน์ ผ่านเกณฑ์; toast "บันทึกผล GAU-011: ผ่าน · CAL-69-01234"; ครบกำหนดถัดไป = 20/10/2570; ใบรับรองเข้า DAM</t>
        </is>
      </c>
      <c r="J334" s="10" t="inlineStr">
        <is>
          <t>High</t>
        </is>
      </c>
      <c r="K334" s="5" t="inlineStr">
        <is>
          <t>ผู้จัดการซ่อมบำรุง (maint.mgr)</t>
        </is>
      </c>
      <c r="L334" s="5" t="n"/>
      <c r="M334" s="10" t="inlineStr">
        <is>
          <t>ยังไม่ทดสอบ</t>
        </is>
      </c>
      <c r="N334" s="5" t="n"/>
      <c r="O334" s="18" t="n"/>
      <c r="P334" s="5" t="n"/>
      <c r="Q334" s="5" t="inlineStr">
        <is>
          <t>2074c75a</t>
        </is>
      </c>
    </row>
    <row r="335" ht="47.5" customHeight="1">
      <c r="A335" s="10" t="inlineStr">
        <is>
          <t>UAT-CLB-008</t>
        </is>
      </c>
      <c r="B335" s="5" t="inlineStr">
        <is>
          <t>สอบเทียบเครื่องมือวัด (Calibration)</t>
        </is>
      </c>
      <c r="C335" s="5" t="inlineStr">
        <is>
          <t>สอบเทียบเครื่องมือวัด</t>
        </is>
      </c>
      <c r="D335" s="5" t="inlineStr">
        <is>
          <t>บันทึกผลสอบเทียบ: ไม่ผ่าน</t>
        </is>
      </c>
      <c r="E335" s="10" t="inlineStr">
        <is>
          <t>Functional</t>
        </is>
      </c>
      <c r="F335" s="5" t="inlineStr">
        <is>
          <t>เปิดฟอร์มบันทึกผล</t>
        </is>
      </c>
      <c r="G335" s="5" t="inlineStr">
        <is>
          <t>1. กรอกค่าที่อ่านเกินเกณฑ์
2. ผล = ไม่ผ่าน
3. บันทึก</t>
        </is>
      </c>
      <c r="H335" s="5" t="inlineStr">
        <is>
          <t>Error 0.5% &gt; ±0.1% FS</t>
        </is>
      </c>
      <c r="I335" s="5" t="inlineStr">
        <is>
          <t>สถานะ "ไม่ผ่าน" สีแดง; ข้อความ "· ระงับการบันทึกค่าในเช็คลิสต์"; แนะนำเปิดใบงาน</t>
        </is>
      </c>
      <c r="J335" s="10" t="inlineStr">
        <is>
          <t>High</t>
        </is>
      </c>
      <c r="K335" s="5" t="inlineStr">
        <is>
          <t>ผู้จัดการซ่อมบำรุง (maint.mgr)</t>
        </is>
      </c>
      <c r="L335" s="5" t="n"/>
      <c r="M335" s="10" t="inlineStr">
        <is>
          <t>ยังไม่ทดสอบ</t>
        </is>
      </c>
      <c r="N335" s="5" t="n"/>
      <c r="O335" s="18" t="n"/>
      <c r="P335" s="5" t="n"/>
      <c r="Q335" s="5" t="inlineStr">
        <is>
          <t>2074c75a</t>
        </is>
      </c>
    </row>
    <row r="336" ht="33" customHeight="1">
      <c r="A336" s="10" t="inlineStr">
        <is>
          <t>UAT-CLB-009</t>
        </is>
      </c>
      <c r="B336" s="5" t="inlineStr">
        <is>
          <t>สอบเทียบเครื่องมือวัด (Calibration)</t>
        </is>
      </c>
      <c r="C336" s="5" t="inlineStr">
        <is>
          <t>สอบเทียบเครื่องมือวัด</t>
        </is>
      </c>
      <c r="D336" s="5" t="inlineStr">
        <is>
          <t>บันทึกผลไม่กรอกเลขใบรับรอง/วันที่</t>
        </is>
      </c>
      <c r="E336" s="10" t="inlineStr">
        <is>
          <t>Validation</t>
        </is>
      </c>
      <c r="F336" s="5" t="inlineStr">
        <is>
          <t>เปิดฟอร์มบันทึกผล</t>
        </is>
      </c>
      <c r="G336" s="5" t="inlineStr">
        <is>
          <t>1. เว้นว่างวันที่และเลขใบรับรอง
2. บันทึกผล</t>
        </is>
      </c>
      <c r="H336" s="5" t="inlineStr">
        <is>
          <t>-</t>
        </is>
      </c>
      <c r="I336" s="5" t="inlineStr">
        <is>
          <t>ไม่บันทึก แจ้งฟิลด์บังคับ</t>
        </is>
      </c>
      <c r="J336" s="10" t="inlineStr">
        <is>
          <t>Medium</t>
        </is>
      </c>
      <c r="K336" s="5" t="inlineStr">
        <is>
          <t>ผู้จัดการซ่อมบำรุง (maint.mgr)</t>
        </is>
      </c>
      <c r="L336" s="5" t="n"/>
      <c r="M336" s="10" t="inlineStr">
        <is>
          <t>ยังไม่ทดสอบ</t>
        </is>
      </c>
      <c r="N336" s="5" t="n"/>
      <c r="O336" s="18" t="n"/>
      <c r="P336" s="5" t="n"/>
      <c r="Q336" s="5" t="inlineStr">
        <is>
          <t>2074c75a</t>
        </is>
      </c>
    </row>
    <row r="337" ht="33" customHeight="1">
      <c r="A337" s="10" t="inlineStr">
        <is>
          <t>UAT-CLB-010</t>
        </is>
      </c>
      <c r="B337" s="5" t="inlineStr">
        <is>
          <t>สอบเทียบเครื่องมือวัด (Calibration)</t>
        </is>
      </c>
      <c r="C337" s="5" t="inlineStr">
        <is>
          <t>สอบเทียบเครื่องมือวัด</t>
        </is>
      </c>
      <c r="D337" s="5" t="inlineStr">
        <is>
          <t>เปิดใบงานสอบเทียบจากการ์ด</t>
        </is>
      </c>
      <c r="E337" s="10" t="inlineStr">
        <is>
          <t>Functional</t>
        </is>
      </c>
      <c r="F337" s="5" t="inlineStr">
        <is>
          <t>เครื่องมือยังไม่มี WO</t>
        </is>
      </c>
      <c r="G337" s="5" t="inlineStr">
        <is>
          <t>1. คลิก "เปิดใบงาน"</t>
        </is>
      </c>
      <c r="H337" s="5" t="inlineStr">
        <is>
          <t>-</t>
        </is>
      </c>
      <c r="I337" s="5" t="inlineStr">
        <is>
          <t>toast "เปิดใบงาน WO-… สำหรับ GAU-011 แล้ว"; การ์ดแสดงลิงก์ WO แทนปุ่ม; WO ประเภท สอบเทียบ</t>
        </is>
      </c>
      <c r="J337" s="10" t="inlineStr">
        <is>
          <t>High</t>
        </is>
      </c>
      <c r="K337" s="5" t="inlineStr">
        <is>
          <t>ผู้จัดการซ่อมบำรุง (maint.mgr)</t>
        </is>
      </c>
      <c r="L337" s="5" t="n"/>
      <c r="M337" s="10" t="inlineStr">
        <is>
          <t>ยังไม่ทดสอบ</t>
        </is>
      </c>
      <c r="N337" s="5" t="n"/>
      <c r="O337" s="18" t="n"/>
      <c r="P337" s="5" t="n"/>
      <c r="Q337" s="5" t="inlineStr">
        <is>
          <t>2074c75a</t>
        </is>
      </c>
    </row>
    <row r="338" ht="33" customHeight="1">
      <c r="A338" s="10" t="inlineStr">
        <is>
          <t>UAT-CLB-011</t>
        </is>
      </c>
      <c r="B338" s="5" t="inlineStr">
        <is>
          <t>สอบเทียบเครื่องมือวัด (Calibration)</t>
        </is>
      </c>
      <c r="C338" s="5" t="inlineStr">
        <is>
          <t>สอบเทียบเครื่องมือวัด</t>
        </is>
      </c>
      <c r="D338" s="5" t="inlineStr">
        <is>
          <t>การนับวันถึงครบกำหนด</t>
        </is>
      </c>
      <c r="E338" s="10" t="inlineStr">
        <is>
          <t>UI</t>
        </is>
      </c>
      <c r="F338" s="5" t="inlineStr">
        <is>
          <t>เข้าสู่ระบบแล้ว</t>
        </is>
      </c>
      <c r="G338" s="5" t="inlineStr">
        <is>
          <t>1. ตรวจวงแหวน/ตัวเลขวันคงเหลือ</t>
        </is>
      </c>
      <c r="H338" s="5" t="inlineStr">
        <is>
          <t>-</t>
        </is>
      </c>
      <c r="I338" s="5" t="inlineStr">
        <is>
          <t>แสดง "อีก n วันถึงครบกำหนด" ถูกต้องตามวันปัจจุบัน; เกินกำหนดแสดง "เลย n วัน" สีแดง</t>
        </is>
      </c>
      <c r="J338" s="10" t="inlineStr">
        <is>
          <t>Medium</t>
        </is>
      </c>
      <c r="K338" s="5" t="inlineStr">
        <is>
          <t>ผู้จัดการซ่อมบำรุง (maint.mgr)</t>
        </is>
      </c>
      <c r="L338" s="5" t="n"/>
      <c r="M338" s="10" t="inlineStr">
        <is>
          <t>ยังไม่ทดสอบ</t>
        </is>
      </c>
      <c r="N338" s="5" t="n"/>
      <c r="O338" s="18" t="n"/>
      <c r="P338" s="5" t="n"/>
      <c r="Q338" s="5" t="inlineStr">
        <is>
          <t>2074c75a</t>
        </is>
      </c>
    </row>
    <row r="339" ht="33" customHeight="1">
      <c r="A339" s="10" t="inlineStr">
        <is>
          <t>UAT-CLB-012</t>
        </is>
      </c>
      <c r="B339" s="5" t="inlineStr">
        <is>
          <t>สอบเทียบเครื่องมือวัด (Calibration)</t>
        </is>
      </c>
      <c r="C339" s="5" t="inlineStr">
        <is>
          <t>สอบเทียบเครื่องมือวัด</t>
        </is>
      </c>
      <c r="D339" s="5" t="inlineStr">
        <is>
          <t>แจ้งเตือนล่วงหน้า (expiry_alerts)</t>
        </is>
      </c>
      <c r="E339" s="10" t="inlineStr">
        <is>
          <t>Functional</t>
        </is>
      </c>
      <c r="F339" s="5" t="inlineStr">
        <is>
          <t>แจ้งล่วงหน้า 30 วัน</t>
        </is>
      </c>
      <c r="G339" s="5" t="inlineStr">
        <is>
          <t>1. รัน cron expiry_alerts 07:00</t>
        </is>
      </c>
      <c r="H339" s="5" t="inlineStr">
        <is>
          <t>-</t>
        </is>
      </c>
      <c r="I339" s="5" t="inlineStr">
        <is>
          <t>ผู้รับผิดชอบได้รับแจ้งเตือน "ใกล้ครบกำหนด n รายการ"; ปฏิทินรวมแสดงเหตุการณ์สอบเทียบ</t>
        </is>
      </c>
      <c r="J339" s="10" t="inlineStr">
        <is>
          <t>Medium</t>
        </is>
      </c>
      <c r="K339" s="5" t="inlineStr">
        <is>
          <t>ผู้จัดการซ่อมบำรุง (maint.mgr)</t>
        </is>
      </c>
      <c r="L339" s="5" t="n"/>
      <c r="M339" s="10" t="inlineStr">
        <is>
          <t>ยังไม่ทดสอบ</t>
        </is>
      </c>
      <c r="N339" s="5" t="n"/>
      <c r="O339" s="18" t="n"/>
      <c r="P339" s="5" t="n"/>
      <c r="Q339" s="5" t="inlineStr">
        <is>
          <t>2074c75a</t>
        </is>
      </c>
    </row>
    <row r="340" ht="33" customHeight="1">
      <c r="A340" s="10" t="inlineStr">
        <is>
          <t>UAT-CLB-013</t>
        </is>
      </c>
      <c r="B340" s="5" t="inlineStr">
        <is>
          <t>สอบเทียบเครื่องมือวัด (Calibration)</t>
        </is>
      </c>
      <c r="C340" s="5" t="inlineStr">
        <is>
          <t>สอบเทียบเครื่องมือวัด</t>
        </is>
      </c>
      <c r="D340" s="5" t="inlineStr">
        <is>
          <t>ผู้ไม่มีสิทธิ์จัดการสอบเทียบ</t>
        </is>
      </c>
      <c r="E340" s="10" t="inlineStr">
        <is>
          <t>Permission</t>
        </is>
      </c>
      <c r="F340" s="5" t="inlineStr">
        <is>
          <t>ล็อกอินเป็นผู้แจ้งซ่อม</t>
        </is>
      </c>
      <c r="G340" s="5" t="inlineStr">
        <is>
          <t>1. เปิดหน้า</t>
        </is>
      </c>
      <c r="H340" s="5" t="inlineStr">
        <is>
          <t>-</t>
        </is>
      </c>
      <c r="I340" s="5" t="inlineStr">
        <is>
          <t>ไม่เห็นเมนู/ปุ่มลงทะเบียนและบันทึกผล</t>
        </is>
      </c>
      <c r="J340" s="10" t="inlineStr">
        <is>
          <t>Medium</t>
        </is>
      </c>
      <c r="K340" s="5" t="inlineStr">
        <is>
          <t>ผู้แจ้งซ่อม/ผู้ใช้งานทั่วไป (user)</t>
        </is>
      </c>
      <c r="L340" s="5" t="n"/>
      <c r="M340" s="10" t="inlineStr">
        <is>
          <t>ยังไม่ทดสอบ</t>
        </is>
      </c>
      <c r="N340" s="5" t="n"/>
      <c r="O340" s="18" t="n"/>
      <c r="P340" s="5" t="n"/>
      <c r="Q340" s="5" t="inlineStr">
        <is>
          <t>2074c75a</t>
        </is>
      </c>
    </row>
    <row r="341" ht="47.5" customHeight="1">
      <c r="A341" s="10" t="inlineStr">
        <is>
          <t>UAT-CLB-014</t>
        </is>
      </c>
      <c r="B341" s="5" t="inlineStr">
        <is>
          <t>สอบเทียบเครื่องมือวัด (Calibration)</t>
        </is>
      </c>
      <c r="C341" s="5" t="inlineStr">
        <is>
          <t>สอบเทียบเครื่องมือวัด</t>
        </is>
      </c>
      <c r="D341" s="5" t="inlineStr">
        <is>
          <t>ค้นหาไม่พบข้อมูล (สอบเทียบเครื่องมือวัด)</t>
        </is>
      </c>
      <c r="E341" s="10" t="inlineStr">
        <is>
          <t>Negative</t>
        </is>
      </c>
      <c r="F341" s="5" t="inlineStr">
        <is>
          <t>เข้าสู่ระบบแล้ว และอยู่ที่หน้าสอบเทียบเครื่องมือวัด</t>
        </is>
      </c>
      <c r="G341" s="5" t="inlineStr">
        <is>
          <t>1. พิมพ์คำค้นที่ไม่มีอยู่จริงในช่อง "ค้นหาเครื่องมือ / รหัส / ใบรับรอง…"
2. สังเกตตาราง/รายการ</t>
        </is>
      </c>
      <c r="H341" s="5" t="inlineStr">
        <is>
          <t>คำค้น: ZZZ-NOTFOUND-999</t>
        </is>
      </c>
      <c r="I34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41" s="10" t="inlineStr">
        <is>
          <t>Low</t>
        </is>
      </c>
      <c r="K341" s="5" t="inlineStr">
        <is>
          <t>ผู้จัดการซ่อมบำรุง (maint.mgr)</t>
        </is>
      </c>
      <c r="L341" s="5" t="n"/>
      <c r="M341" s="10" t="inlineStr">
        <is>
          <t>ยังไม่ทดสอบ</t>
        </is>
      </c>
      <c r="N341" s="5" t="n"/>
      <c r="O341" s="18" t="n"/>
      <c r="P341" s="5" t="n"/>
      <c r="Q341" s="5" t="inlineStr">
        <is>
          <t>2074c75a</t>
        </is>
      </c>
    </row>
    <row r="342" ht="47.5" customHeight="1">
      <c r="A342" s="10" t="inlineStr">
        <is>
          <t>UAT-CLB-015</t>
        </is>
      </c>
      <c r="B342" s="5" t="inlineStr">
        <is>
          <t>สอบเทียบเครื่องมือวัด (Calibration)</t>
        </is>
      </c>
      <c r="C342" s="5" t="inlineStr">
        <is>
          <t>สอบเทียบเครื่องมือวัด</t>
        </is>
      </c>
      <c r="D342" s="5" t="inlineStr">
        <is>
          <t>ค้นหาด้วยคำค้นที่มีอยู่จริง (สอบเทียบเครื่องมือวัด)</t>
        </is>
      </c>
      <c r="E342" s="10" t="inlineStr">
        <is>
          <t>Functional</t>
        </is>
      </c>
      <c r="F342" s="5" t="inlineStr">
        <is>
          <t>เข้าสู่ระบบแล้ว และอยู่ที่หน้าสอบเทียบเครื่องมือวัด</t>
        </is>
      </c>
      <c r="G342" s="5" t="inlineStr">
        <is>
          <t>1. พิมพ์คำค้นในช่อง "ค้นหาเครื่องมือ / รหัส / ใบรับรอง…"
2. ตรวจรายการที่แสดง
3. ล้างคำค้น</t>
        </is>
      </c>
      <c r="H342" s="5" t="inlineStr">
        <is>
          <t>คำค้น: SCL-002</t>
        </is>
      </c>
      <c r="I342" s="5" t="inlineStr">
        <is>
          <t>แสดงเฉพาะรายการที่ตรงกับคำค้น (เครื่องชั่งดิจิทัล 60 กก.); เมื่อล้างคำค้นรายการกลับมาครบ</t>
        </is>
      </c>
      <c r="J342" s="10" t="inlineStr">
        <is>
          <t>Medium</t>
        </is>
      </c>
      <c r="K342" s="5" t="inlineStr">
        <is>
          <t>ผู้จัดการซ่อมบำรุง (maint.mgr)</t>
        </is>
      </c>
      <c r="L342" s="5" t="n"/>
      <c r="M342" s="10" t="inlineStr">
        <is>
          <t>ยังไม่ทดสอบ</t>
        </is>
      </c>
      <c r="N342" s="5" t="n"/>
      <c r="O342" s="18" t="n"/>
      <c r="P342" s="5" t="n"/>
      <c r="Q342" s="5" t="inlineStr">
        <is>
          <t>2074c75a</t>
        </is>
      </c>
    </row>
    <row r="343" ht="62" customHeight="1">
      <c r="A343" s="10" t="inlineStr">
        <is>
          <t>UAT-CLB-016</t>
        </is>
      </c>
      <c r="B343" s="5" t="inlineStr">
        <is>
          <t>สอบเทียบเครื่องมือวัด (Calibration)</t>
        </is>
      </c>
      <c r="C343" s="5" t="inlineStr">
        <is>
          <t>สอบเทียบเครื่องมือวัด</t>
        </is>
      </c>
      <c r="D343" s="5" t="inlineStr">
        <is>
          <t>แสดงผลบนมือถือ 375px (สอบเทียบเครื่องมือวัด)</t>
        </is>
      </c>
      <c r="E343" s="10" t="inlineStr">
        <is>
          <t>Responsive</t>
        </is>
      </c>
      <c r="F343" s="5" t="inlineStr">
        <is>
          <t>เข้าสู่ระบบแล้ว; เปิด DevTools โหมดอุปกรณ์ iPhone SE/375×667</t>
        </is>
      </c>
      <c r="G34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343" s="5" t="inlineStr">
        <is>
          <t>ความกว้าง 375px</t>
        </is>
      </c>
      <c r="I34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343" s="10" t="inlineStr">
        <is>
          <t>Medium</t>
        </is>
      </c>
      <c r="K343" s="5" t="inlineStr">
        <is>
          <t>ผู้จัดการซ่อมบำรุง (maint.mgr)</t>
        </is>
      </c>
      <c r="L343" s="5" t="n"/>
      <c r="M343" s="10" t="inlineStr">
        <is>
          <t>ยังไม่ทดสอบ</t>
        </is>
      </c>
      <c r="N343" s="5" t="n"/>
      <c r="O343" s="18" t="n"/>
      <c r="P343" s="5" t="n"/>
      <c r="Q343" s="5" t="inlineStr">
        <is>
          <t>2074c75a</t>
        </is>
      </c>
    </row>
    <row r="344" ht="62" customHeight="1">
      <c r="A344" s="10" t="inlineStr">
        <is>
          <t>UAT-CLB-017</t>
        </is>
      </c>
      <c r="B344" s="5" t="inlineStr">
        <is>
          <t>สอบเทียบเครื่องมือวัด (Calibration)</t>
        </is>
      </c>
      <c r="C344" s="5" t="inlineStr">
        <is>
          <t>สอบเทียบเครื่องมือวัด</t>
        </is>
      </c>
      <c r="D344" s="5" t="inlineStr">
        <is>
          <t>แสดงผลบน Desktop 1920px และความอ่านง่ายธีมมืด (สอบเทียบเครื่องมือวัด)</t>
        </is>
      </c>
      <c r="E344" s="10" t="inlineStr">
        <is>
          <t>UI</t>
        </is>
      </c>
      <c r="F344" s="5" t="inlineStr">
        <is>
          <t>เข้าสู่ระบบแล้ว; หน้าจอ 1920×1080</t>
        </is>
      </c>
      <c r="G34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344" s="5" t="inlineStr">
        <is>
          <t>ความกว้าง 1920px</t>
        </is>
      </c>
      <c r="I34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344" s="10" t="inlineStr">
        <is>
          <t>Low</t>
        </is>
      </c>
      <c r="K344" s="5" t="inlineStr">
        <is>
          <t>ผู้จัดการซ่อมบำรุง (maint.mgr)</t>
        </is>
      </c>
      <c r="L344" s="5" t="n"/>
      <c r="M344" s="10" t="inlineStr">
        <is>
          <t>ยังไม่ทดสอบ</t>
        </is>
      </c>
      <c r="N344" s="5" t="n"/>
      <c r="O344" s="18" t="n"/>
      <c r="P344" s="5" t="n"/>
      <c r="Q344" s="5" t="inlineStr">
        <is>
          <t>2074c75a</t>
        </is>
      </c>
    </row>
    <row r="345" ht="33" customHeight="1">
      <c r="A345" s="10" t="inlineStr">
        <is>
          <t>UAT-SP-001</t>
        </is>
      </c>
      <c r="B345" s="5" t="inlineStr">
        <is>
          <t>คลังอะไหล่ (Spare Parts)</t>
        </is>
      </c>
      <c r="C345" s="5" t="inlineStr">
        <is>
          <t>คลังอะไหล่</t>
        </is>
      </c>
      <c r="D345" s="5" t="inlineStr">
        <is>
          <t>KPI คลังอะไหล่</t>
        </is>
      </c>
      <c r="E345" s="10" t="inlineStr">
        <is>
          <t>UI</t>
        </is>
      </c>
      <c r="F345" s="5" t="inlineStr">
        <is>
          <t>เข้าสู่ระบบแล้ว</t>
        </is>
      </c>
      <c r="G345" s="5" t="inlineStr">
        <is>
          <t>1. เปิดหน้าคลังอะไหล่</t>
        </is>
      </c>
      <c r="H345" s="5" t="inlineStr">
        <is>
          <t>-</t>
        </is>
      </c>
      <c r="I345" s="5" t="inlineStr">
        <is>
          <t>KPI รายการอะไหล่, มูลค่าคงคลัง, ต่ำกว่าจุดสั่งซื้อ, หมดสต็อก, เบิกใช้ 30 วัน สอดคล้องกับตาราง</t>
        </is>
      </c>
      <c r="J345" s="10" t="inlineStr">
        <is>
          <t>Medium</t>
        </is>
      </c>
      <c r="K345" s="5" t="inlineStr">
        <is>
          <t>เจ้าหน้าที่คลัง (store)</t>
        </is>
      </c>
      <c r="L345" s="5" t="n"/>
      <c r="M345" s="10" t="inlineStr">
        <is>
          <t>ยังไม่ทดสอบ</t>
        </is>
      </c>
      <c r="N345" s="5" t="n"/>
      <c r="O345" s="18" t="n"/>
      <c r="P345" s="5" t="n"/>
      <c r="Q345" s="5" t="inlineStr">
        <is>
          <t>2b1d5dab</t>
        </is>
      </c>
    </row>
    <row r="346" ht="47.5" customHeight="1">
      <c r="A346" s="10" t="inlineStr">
        <is>
          <t>UAT-SP-002</t>
        </is>
      </c>
      <c r="B346" s="5" t="inlineStr">
        <is>
          <t>คลังอะไหล่ (Spare Parts)</t>
        </is>
      </c>
      <c r="C346" s="5" t="inlineStr">
        <is>
          <t>คลังอะไหล่</t>
        </is>
      </c>
      <c r="D346" s="5" t="inlineStr">
        <is>
          <t>ตารางอะไหล่และคงเหลือรายคลัง</t>
        </is>
      </c>
      <c r="E346" s="10" t="inlineStr">
        <is>
          <t>Functional</t>
        </is>
      </c>
      <c r="F346" s="5" t="inlineStr">
        <is>
          <t>เข้าสู่ระบบแล้ว</t>
        </is>
      </c>
      <c r="G346" s="5" t="inlineStr">
        <is>
          <t>1. ตรวจแถว ลูกปืน 6205-2RS</t>
        </is>
      </c>
      <c r="H346" s="5" t="inlineStr">
        <is>
          <t>-</t>
        </is>
      </c>
      <c r="I346" s="5" t="inlineStr">
        <is>
          <t>คอลัมน์ อะไหล่ (รหัส+ชื่อ+badge วิกฤต), คงเหลือ, รายคลัง (WH-SKN/WH-RYG), จุดสั่งซื้อ/สูงสุด, ค้างรับ, ต้นทุนเฉลี่ย, มูลค่า = คงเหลือ × ต้นทุนเฉลี่ย</t>
        </is>
      </c>
      <c r="J346" s="10" t="inlineStr">
        <is>
          <t>High</t>
        </is>
      </c>
      <c r="K346" s="5" t="inlineStr">
        <is>
          <t>เจ้าหน้าที่คลัง (store)</t>
        </is>
      </c>
      <c r="L346" s="5" t="n"/>
      <c r="M346" s="10" t="inlineStr">
        <is>
          <t>ยังไม่ทดสอบ</t>
        </is>
      </c>
      <c r="N346" s="5" t="n"/>
      <c r="O346" s="18" t="n"/>
      <c r="P346" s="5" t="n"/>
      <c r="Q346" s="5" t="inlineStr">
        <is>
          <t>2b1d5dab</t>
        </is>
      </c>
    </row>
    <row r="347" ht="33" customHeight="1">
      <c r="A347" s="10" t="inlineStr">
        <is>
          <t>UAT-SP-003</t>
        </is>
      </c>
      <c r="B347" s="5" t="inlineStr">
        <is>
          <t>คลังอะไหล่ (Spare Parts)</t>
        </is>
      </c>
      <c r="C347" s="5" t="inlineStr">
        <is>
          <t>คลังอะไหล่</t>
        </is>
      </c>
      <c r="D347" s="5" t="inlineStr">
        <is>
          <t>กรองสถานะและคลัง</t>
        </is>
      </c>
      <c r="E347" s="10" t="inlineStr">
        <is>
          <t>Functional</t>
        </is>
      </c>
      <c r="F347" s="5" t="inlineStr">
        <is>
          <t>เข้าสู่ระบบแล้ว</t>
        </is>
      </c>
      <c r="G347" s="5" t="inlineStr">
        <is>
          <t>1. สถานะ = ต่ำกว่าจุดสั่งซื้อ
2. คลัง = WH-SKN</t>
        </is>
      </c>
      <c r="H347" s="5" t="inlineStr">
        <is>
          <t>-</t>
        </is>
      </c>
      <c r="I347" s="5" t="inlineStr">
        <is>
          <t>แสดงเฉพาะรายการต่ำกว่าจุดสั่งซื้อในคลังสมุทรสาคร</t>
        </is>
      </c>
      <c r="J347" s="10" t="inlineStr">
        <is>
          <t>Medium</t>
        </is>
      </c>
      <c r="K347" s="5" t="inlineStr">
        <is>
          <t>เจ้าหน้าที่คลัง (store)</t>
        </is>
      </c>
      <c r="L347" s="5" t="n"/>
      <c r="M347" s="10" t="inlineStr">
        <is>
          <t>ยังไม่ทดสอบ</t>
        </is>
      </c>
      <c r="N347" s="5" t="n"/>
      <c r="O347" s="18" t="n"/>
      <c r="P347" s="5" t="n"/>
      <c r="Q347" s="5" t="inlineStr">
        <is>
          <t>2b1d5dab</t>
        </is>
      </c>
    </row>
    <row r="348" ht="62" customHeight="1">
      <c r="A348" s="10" t="inlineStr">
        <is>
          <t>UAT-SP-004</t>
        </is>
      </c>
      <c r="B348" s="5" t="inlineStr">
        <is>
          <t>คลังอะไหล่ (Spare Parts)</t>
        </is>
      </c>
      <c r="C348" s="5" t="inlineStr">
        <is>
          <t>คลังอะไหล่</t>
        </is>
      </c>
      <c r="D348" s="5" t="inlineStr">
        <is>
          <t>เพิ่มอะไหล่ใหม่</t>
        </is>
      </c>
      <c r="E348" s="10" t="inlineStr">
        <is>
          <t>Functional</t>
        </is>
      </c>
      <c r="F348" s="5" t="inlineStr">
        <is>
          <t>มีสิทธิ์ รับ-จ่าย-ปรับปรุงอะไหล่</t>
        </is>
      </c>
      <c r="G348" s="5" t="inlineStr">
        <is>
          <t>1. คลิก "+ อะไหล่ใหม่"
2. กรอกรหัส ชื่อ สเปก หน่วย หมวด วิกฤต จุดสั่งซื้อ สูงสุด คลัง ผู้ขายหลัก
3. บันทึก</t>
        </is>
      </c>
      <c r="H348" s="5" t="inlineStr">
        <is>
          <t>SP-BLT-B52; สายพาน B-52; เส้น; เครื่องกล; วิกฤต; ROP 4; Max 12; WH-SKN</t>
        </is>
      </c>
      <c r="I348" s="5" t="inlineStr">
        <is>
          <t>toast "เพิ่มอะไหล่ SP-BLT-B52 แล้ว"; แสดงในตาราง คงเหลือ 0</t>
        </is>
      </c>
      <c r="J348" s="10" t="inlineStr">
        <is>
          <t>High</t>
        </is>
      </c>
      <c r="K348" s="5" t="inlineStr">
        <is>
          <t>เจ้าหน้าที่คลัง (store)</t>
        </is>
      </c>
      <c r="L348" s="5" t="n"/>
      <c r="M348" s="10" t="inlineStr">
        <is>
          <t>ยังไม่ทดสอบ</t>
        </is>
      </c>
      <c r="N348" s="5" t="n"/>
      <c r="O348" s="18" t="n"/>
      <c r="P348" s="5" t="n"/>
      <c r="Q348" s="5" t="inlineStr">
        <is>
          <t>2b1d5dab</t>
        </is>
      </c>
    </row>
    <row r="349" ht="18.5" customHeight="1">
      <c r="A349" s="10" t="inlineStr">
        <is>
          <t>UAT-SP-005</t>
        </is>
      </c>
      <c r="B349" s="5" t="inlineStr">
        <is>
          <t>คลังอะไหล่ (Spare Parts)</t>
        </is>
      </c>
      <c r="C349" s="5" t="inlineStr">
        <is>
          <t>คลังอะไหล่</t>
        </is>
      </c>
      <c r="D349" s="5" t="inlineStr">
        <is>
          <t>เพิ่มอะไหล่รหัสซ้ำ</t>
        </is>
      </c>
      <c r="E349" s="10" t="inlineStr">
        <is>
          <t>Validation</t>
        </is>
      </c>
      <c r="F349" s="5" t="inlineStr">
        <is>
          <t>มีรหัส SP-BRG-6205</t>
        </is>
      </c>
      <c r="G349" s="5" t="inlineStr">
        <is>
          <t>1. เพิ่มอะไหล่รหัส SP-BRG-6205</t>
        </is>
      </c>
      <c r="H349" s="5" t="inlineStr">
        <is>
          <t>-</t>
        </is>
      </c>
      <c r="I349" s="5" t="inlineStr">
        <is>
          <t>แจ้ง "รหัสนี้มีอยู่แล้ว" ไม่บันทึก</t>
        </is>
      </c>
      <c r="J349" s="10" t="inlineStr">
        <is>
          <t>High</t>
        </is>
      </c>
      <c r="K349" s="5" t="inlineStr">
        <is>
          <t>เจ้าหน้าที่คลัง (store)</t>
        </is>
      </c>
      <c r="L349" s="5" t="n"/>
      <c r="M349" s="10" t="inlineStr">
        <is>
          <t>ยังไม่ทดสอบ</t>
        </is>
      </c>
      <c r="N349" s="5" t="n"/>
      <c r="O349" s="18" t="n"/>
      <c r="P349" s="5" t="n"/>
      <c r="Q349" s="5" t="inlineStr">
        <is>
          <t>2b1d5dab</t>
        </is>
      </c>
    </row>
    <row r="350" ht="33" customHeight="1">
      <c r="A350" s="10" t="inlineStr">
        <is>
          <t>UAT-SP-006</t>
        </is>
      </c>
      <c r="B350" s="5" t="inlineStr">
        <is>
          <t>คลังอะไหล่ (Spare Parts)</t>
        </is>
      </c>
      <c r="C350" s="5" t="inlineStr">
        <is>
          <t>คลังอะไหล่</t>
        </is>
      </c>
      <c r="D350" s="5" t="inlineStr">
        <is>
          <t>จุดสั่งซื้อมากกว่าสูงสุด</t>
        </is>
      </c>
      <c r="E350" s="10" t="inlineStr">
        <is>
          <t>Validation</t>
        </is>
      </c>
      <c r="F350" s="5" t="inlineStr">
        <is>
          <t>เปิดฟอร์มอะไหล่ใหม่</t>
        </is>
      </c>
      <c r="G350" s="5" t="inlineStr">
        <is>
          <t>1. กรอก ROP 20, สูงสุด 10
2. บันทึก</t>
        </is>
      </c>
      <c r="H350" s="5" t="inlineStr">
        <is>
          <t>-</t>
        </is>
      </c>
      <c r="I350" s="5" t="inlineStr">
        <is>
          <t>แจ้งจุดสั่งซื้อต้องไม่เกินสูงสุด</t>
        </is>
      </c>
      <c r="J350" s="10" t="inlineStr">
        <is>
          <t>Medium</t>
        </is>
      </c>
      <c r="K350" s="5" t="inlineStr">
        <is>
          <t>เจ้าหน้าที่คลัง (store)</t>
        </is>
      </c>
      <c r="L350" s="5" t="n"/>
      <c r="M350" s="10" t="inlineStr">
        <is>
          <t>ยังไม่ทดสอบ</t>
        </is>
      </c>
      <c r="N350" s="5" t="n"/>
      <c r="O350" s="18" t="n"/>
      <c r="P350" s="5" t="n"/>
      <c r="Q350" s="5" t="inlineStr">
        <is>
          <t>2b1d5dab</t>
        </is>
      </c>
    </row>
    <row r="351" ht="76.5" customHeight="1">
      <c r="A351" s="10" t="inlineStr">
        <is>
          <t>UAT-SP-007</t>
        </is>
      </c>
      <c r="B351" s="5" t="inlineStr">
        <is>
          <t>คลังอะไหล่ (Spare Parts)</t>
        </is>
      </c>
      <c r="C351" s="5" t="inlineStr">
        <is>
          <t>คลังอะไหล่</t>
        </is>
      </c>
      <c r="D351" s="5" t="inlineStr">
        <is>
          <t>เพิ่มฟิลด์เพิ่มเติม (Custom Field) ในฟอร์มอะไหล่ใหม่</t>
        </is>
      </c>
      <c r="E351" s="10" t="inlineStr">
        <is>
          <t>Functional</t>
        </is>
      </c>
      <c r="F351" s="5" t="inlineStr">
        <is>
          <t>เข้าสู่ระบบแล้ว; เปิดฟอร์มอะไหล่ใหม่</t>
        </is>
      </c>
      <c r="G351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351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351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351" s="10" t="inlineStr">
        <is>
          <t>Medium</t>
        </is>
      </c>
      <c r="K351" s="5" t="inlineStr">
        <is>
          <t>เจ้าหน้าที่คลัง (store)</t>
        </is>
      </c>
      <c r="L351" s="5" t="n"/>
      <c r="M351" s="10" t="inlineStr">
        <is>
          <t>ยังไม่ทดสอบ</t>
        </is>
      </c>
      <c r="N351" s="5" t="n"/>
      <c r="O351" s="18" t="n"/>
      <c r="P351" s="5" t="n"/>
      <c r="Q351" s="5" t="inlineStr">
        <is>
          <t>2b1d5dab</t>
        </is>
      </c>
    </row>
    <row r="352" ht="47.5" customHeight="1">
      <c r="A352" s="10" t="inlineStr">
        <is>
          <t>UAT-SP-008</t>
        </is>
      </c>
      <c r="B352" s="5" t="inlineStr">
        <is>
          <t>คลังอะไหล่ (Spare Parts)</t>
        </is>
      </c>
      <c r="C352" s="5" t="inlineStr">
        <is>
          <t>คลังอะไหล่</t>
        </is>
      </c>
      <c r="D352" s="5" t="inlineStr">
        <is>
          <t>รับเข้าอะไหล่</t>
        </is>
      </c>
      <c r="E352" s="10" t="inlineStr">
        <is>
          <t>Functional</t>
        </is>
      </c>
      <c r="F352" s="5" t="inlineStr">
        <is>
          <t>มีอะไหล่ SP-BRG-6205</t>
        </is>
      </c>
      <c r="G352" s="5" t="inlineStr">
        <is>
          <t>1. คลิก "รับเข้า/เบิกจ่าย"
2. ประเภท รับเข้า คลัง WH-SKN จำนวน 10 อ้างอิง PO
3. บันทึก</t>
        </is>
      </c>
      <c r="H352" s="5" t="inlineStr">
        <is>
          <t>อ้างอิง PO-2569-0142</t>
        </is>
      </c>
      <c r="I352" s="5" t="inlineStr">
        <is>
          <t>คงเหลือ +10; ต้นทุนเฉลี่ยคำนวณใหม่ (Moving average); แท็บความเคลื่อนไหวมีรายการ รับเข้า</t>
        </is>
      </c>
      <c r="J352" s="10" t="inlineStr">
        <is>
          <t>High</t>
        </is>
      </c>
      <c r="K352" s="5" t="inlineStr">
        <is>
          <t>เจ้าหน้าที่คลัง (store)</t>
        </is>
      </c>
      <c r="L352" s="5" t="n"/>
      <c r="M352" s="10" t="inlineStr">
        <is>
          <t>ยังไม่ทดสอบ</t>
        </is>
      </c>
      <c r="N352" s="5" t="n"/>
      <c r="O352" s="18" t="n"/>
      <c r="P352" s="5" t="n"/>
      <c r="Q352" s="5" t="inlineStr">
        <is>
          <t>2b1d5dab</t>
        </is>
      </c>
    </row>
    <row r="353" ht="33" customHeight="1">
      <c r="A353" s="10" t="inlineStr">
        <is>
          <t>UAT-SP-009</t>
        </is>
      </c>
      <c r="B353" s="5" t="inlineStr">
        <is>
          <t>คลังอะไหล่ (Spare Parts)</t>
        </is>
      </c>
      <c r="C353" s="5" t="inlineStr">
        <is>
          <t>คลังอะไหล่</t>
        </is>
      </c>
      <c r="D353" s="5" t="inlineStr">
        <is>
          <t>เบิกอะไหล่เข้า WO</t>
        </is>
      </c>
      <c r="E353" s="10" t="inlineStr">
        <is>
          <t>Functional</t>
        </is>
      </c>
      <c r="F353" s="5" t="inlineStr">
        <is>
          <t>คงเหลือ WH-SKN 3</t>
        </is>
      </c>
      <c r="G353" s="5" t="inlineStr">
        <is>
          <t>1. ประเภท เบิก WO จำนวน 2 อ้างอิง WO-2569-0003
2. บันทึก</t>
        </is>
      </c>
      <c r="H353" s="5" t="inlineStr">
        <is>
          <t>-</t>
        </is>
      </c>
      <c r="I353" s="5" t="inlineStr">
        <is>
          <t>คงเหลือเหลือ 1; ต้นทุนเข้า WO; ความเคลื่อนไหว "เบิก WO"</t>
        </is>
      </c>
      <c r="J353" s="10" t="inlineStr">
        <is>
          <t>High</t>
        </is>
      </c>
      <c r="K353" s="5" t="inlineStr">
        <is>
          <t>เจ้าหน้าที่คลัง (store)</t>
        </is>
      </c>
      <c r="L353" s="5" t="n"/>
      <c r="M353" s="10" t="inlineStr">
        <is>
          <t>ยังไม่ทดสอบ</t>
        </is>
      </c>
      <c r="N353" s="5" t="n"/>
      <c r="O353" s="18" t="n"/>
      <c r="P353" s="5" t="n"/>
      <c r="Q353" s="5" t="inlineStr">
        <is>
          <t>2b1d5dab</t>
        </is>
      </c>
    </row>
    <row r="354" ht="18.5" customHeight="1">
      <c r="A354" s="10" t="inlineStr">
        <is>
          <t>UAT-SP-010</t>
        </is>
      </c>
      <c r="B354" s="5" t="inlineStr">
        <is>
          <t>คลังอะไหล่ (Spare Parts)</t>
        </is>
      </c>
      <c r="C354" s="5" t="inlineStr">
        <is>
          <t>คลังอะไหล่</t>
        </is>
      </c>
      <c r="D354" s="5" t="inlineStr">
        <is>
          <t>เบิกเกินยอดคงเหลือ</t>
        </is>
      </c>
      <c r="E354" s="10" t="inlineStr">
        <is>
          <t>Negative</t>
        </is>
      </c>
      <c r="F354" s="5" t="inlineStr">
        <is>
          <t>คงเหลือ WH-SKN 3</t>
        </is>
      </c>
      <c r="G354" s="5" t="inlineStr">
        <is>
          <t>1. เบิก 5 ชิ้น</t>
        </is>
      </c>
      <c r="H354" s="5" t="inlineStr">
        <is>
          <t>5</t>
        </is>
      </c>
      <c r="I354" s="5" t="inlineStr">
        <is>
          <t>แจ้ง "ยอดใน WH-SKN ไม่พอ (มี 3)" ไม่บันทึก</t>
        </is>
      </c>
      <c r="J354" s="10" t="inlineStr">
        <is>
          <t>High</t>
        </is>
      </c>
      <c r="K354" s="5" t="inlineStr">
        <is>
          <t>เจ้าหน้าที่คลัง (store)</t>
        </is>
      </c>
      <c r="L354" s="5" t="n"/>
      <c r="M354" s="10" t="inlineStr">
        <is>
          <t>ยังไม่ทดสอบ</t>
        </is>
      </c>
      <c r="N354" s="5" t="n"/>
      <c r="O354" s="18" t="n"/>
      <c r="P354" s="5" t="n"/>
      <c r="Q354" s="5" t="inlineStr">
        <is>
          <t>2b1d5dab</t>
        </is>
      </c>
    </row>
    <row r="355" ht="18.5" customHeight="1">
      <c r="A355" s="10" t="inlineStr">
        <is>
          <t>UAT-SP-011</t>
        </is>
      </c>
      <c r="B355" s="5" t="inlineStr">
        <is>
          <t>คลังอะไหล่ (Spare Parts)</t>
        </is>
      </c>
      <c r="C355" s="5" t="inlineStr">
        <is>
          <t>คลังอะไหล่</t>
        </is>
      </c>
      <c r="D355" s="5" t="inlineStr">
        <is>
          <t>โอนคลังระหว่างไซต์</t>
        </is>
      </c>
      <c r="E355" s="10" t="inlineStr">
        <is>
          <t>Functional</t>
        </is>
      </c>
      <c r="F355" s="5" t="inlineStr">
        <is>
          <t>มียอดใน WH-SKN</t>
        </is>
      </c>
      <c r="G355" s="5" t="inlineStr">
        <is>
          <t>1. ประเภท โอนคลัง จาก WH-SKN ไป WH-RYG จำนวน 2</t>
        </is>
      </c>
      <c r="H355" s="5" t="inlineStr">
        <is>
          <t>-</t>
        </is>
      </c>
      <c r="I355" s="5" t="inlineStr">
        <is>
          <t>ยอด WH-SKN −2, WH-RYG +2 ยอดรวมไม่เปลี่ยน</t>
        </is>
      </c>
      <c r="J355" s="10" t="inlineStr">
        <is>
          <t>Medium</t>
        </is>
      </c>
      <c r="K355" s="5" t="inlineStr">
        <is>
          <t>เจ้าหน้าที่คลัง (store)</t>
        </is>
      </c>
      <c r="L355" s="5" t="n"/>
      <c r="M355" s="10" t="inlineStr">
        <is>
          <t>ยังไม่ทดสอบ</t>
        </is>
      </c>
      <c r="N355" s="5" t="n"/>
      <c r="O355" s="18" t="n"/>
      <c r="P355" s="5" t="n"/>
      <c r="Q355" s="5" t="inlineStr">
        <is>
          <t>2b1d5dab</t>
        </is>
      </c>
    </row>
    <row r="356" ht="18.5" customHeight="1">
      <c r="A356" s="10" t="inlineStr">
        <is>
          <t>UAT-SP-012</t>
        </is>
      </c>
      <c r="B356" s="5" t="inlineStr">
        <is>
          <t>คลังอะไหล่ (Spare Parts)</t>
        </is>
      </c>
      <c r="C356" s="5" t="inlineStr">
        <is>
          <t>คลังอะไหล่</t>
        </is>
      </c>
      <c r="D356" s="5" t="inlineStr">
        <is>
          <t>ปรับปรุงยอด (ตรวจนับ)</t>
        </is>
      </c>
      <c r="E356" s="10" t="inlineStr">
        <is>
          <t>Functional</t>
        </is>
      </c>
      <c r="F356" s="5" t="inlineStr">
        <is>
          <t>มีผลต่างตรวจนับ</t>
        </is>
      </c>
      <c r="G356" s="5" t="inlineStr">
        <is>
          <t>1. ประเภท ปรับปรุง จำนวน −1 หมายเหตุ ตรวจนับประจำเดือน</t>
        </is>
      </c>
      <c r="H356" s="5" t="inlineStr">
        <is>
          <t>-</t>
        </is>
      </c>
      <c r="I356" s="5" t="inlineStr">
        <is>
          <t>ยอดปรับ; บันทึกเหตุผลและผู้ทำ; Audit Log บันทึก</t>
        </is>
      </c>
      <c r="J356" s="10" t="inlineStr">
        <is>
          <t>Medium</t>
        </is>
      </c>
      <c r="K356" s="5" t="inlineStr">
        <is>
          <t>เจ้าหน้าที่คลัง (store)</t>
        </is>
      </c>
      <c r="L356" s="5" t="n"/>
      <c r="M356" s="10" t="inlineStr">
        <is>
          <t>ยังไม่ทดสอบ</t>
        </is>
      </c>
      <c r="N356" s="5" t="n"/>
      <c r="O356" s="18" t="n"/>
      <c r="P356" s="5" t="n"/>
      <c r="Q356" s="5" t="inlineStr">
        <is>
          <t>2b1d5dab</t>
        </is>
      </c>
    </row>
    <row r="357" ht="33" customHeight="1">
      <c r="A357" s="10" t="inlineStr">
        <is>
          <t>UAT-SP-013</t>
        </is>
      </c>
      <c r="B357" s="5" t="inlineStr">
        <is>
          <t>คลังอะไหล่ (Spare Parts)</t>
        </is>
      </c>
      <c r="C357" s="5" t="inlineStr">
        <is>
          <t>คลังอะไหล่</t>
        </is>
      </c>
      <c r="D357" s="5" t="inlineStr">
        <is>
          <t>จำนวนเป็น 0/ติดลบในการรับเข้า</t>
        </is>
      </c>
      <c r="E357" s="10" t="inlineStr">
        <is>
          <t>Validation</t>
        </is>
      </c>
      <c r="F357" s="5" t="inlineStr">
        <is>
          <t>เปิดฟอร์มรับเข้า</t>
        </is>
      </c>
      <c r="G357" s="5" t="inlineStr">
        <is>
          <t>1. กรอกจำนวน 0
2. บันทึก</t>
        </is>
      </c>
      <c r="H357" s="5" t="inlineStr">
        <is>
          <t>0</t>
        </is>
      </c>
      <c r="I357" s="5" t="inlineStr">
        <is>
          <t>ไม่บันทึก แจ้งจำนวนต้องมากกว่า 0</t>
        </is>
      </c>
      <c r="J357" s="10" t="inlineStr">
        <is>
          <t>Medium</t>
        </is>
      </c>
      <c r="K357" s="5" t="inlineStr">
        <is>
          <t>เจ้าหน้าที่คลัง (store)</t>
        </is>
      </c>
      <c r="L357" s="5" t="n"/>
      <c r="M357" s="10" t="inlineStr">
        <is>
          <t>ยังไม่ทดสอบ</t>
        </is>
      </c>
      <c r="N357" s="5" t="n"/>
      <c r="O357" s="18" t="n"/>
      <c r="P357" s="5" t="n"/>
      <c r="Q357" s="5" t="inlineStr">
        <is>
          <t>2b1d5dab</t>
        </is>
      </c>
    </row>
    <row r="358" ht="47.5" customHeight="1">
      <c r="A358" s="10" t="inlineStr">
        <is>
          <t>UAT-SP-014</t>
        </is>
      </c>
      <c r="B358" s="5" t="inlineStr">
        <is>
          <t>คลังอะไหล่ (Spare Parts)</t>
        </is>
      </c>
      <c r="C358" s="5" t="inlineStr">
        <is>
          <t>คลังอะไหล่</t>
        </is>
      </c>
      <c r="D358" s="5" t="inlineStr">
        <is>
          <t>แท็บเสนอแนะสั่งซื้อ → สร้าง PR</t>
        </is>
      </c>
      <c r="E358" s="10" t="inlineStr">
        <is>
          <t>Functional</t>
        </is>
      </c>
      <c r="F358" s="5" t="inlineStr">
        <is>
          <t>มีอะไหล่ต่ำกว่า ROP 3 รายการ</t>
        </is>
      </c>
      <c r="G358" s="5" t="inlineStr">
        <is>
          <t>1. คลิกแท็บ เสนอแนะสั่งซื้อ
2. คลิก "สร้าง PR" ที่รายการ</t>
        </is>
      </c>
      <c r="H358" s="5" t="inlineStr">
        <is>
          <t>-</t>
        </is>
      </c>
      <c r="I358" s="5" t="inlineStr">
        <is>
          <t>แสดงจำนวนแนะนำ (สูงสุด − คงเหลือ − ค้างรับ); toast "สร้าง PR-… แล้ว"; PR ประเภท เติมสต็อก ปรากฏในหน้าจัดซื้อ; ค้างรับเพิ่มเมื่อออก PO</t>
        </is>
      </c>
      <c r="J358" s="10" t="inlineStr">
        <is>
          <t>High</t>
        </is>
      </c>
      <c r="K358" s="5" t="inlineStr">
        <is>
          <t>เจ้าหน้าที่คลัง (store)</t>
        </is>
      </c>
      <c r="L358" s="5" t="n"/>
      <c r="M358" s="10" t="inlineStr">
        <is>
          <t>ยังไม่ทดสอบ</t>
        </is>
      </c>
      <c r="N358" s="5" t="n"/>
      <c r="O358" s="18" t="n"/>
      <c r="P358" s="5" t="n"/>
      <c r="Q358" s="5" t="inlineStr">
        <is>
          <t>2b1d5dab</t>
        </is>
      </c>
    </row>
    <row r="359" ht="33" customHeight="1">
      <c r="A359" s="10" t="inlineStr">
        <is>
          <t>UAT-SP-015</t>
        </is>
      </c>
      <c r="B359" s="5" t="inlineStr">
        <is>
          <t>คลังอะไหล่ (Spare Parts)</t>
        </is>
      </c>
      <c r="C359" s="5" t="inlineStr">
        <is>
          <t>คลังอะไหล่</t>
        </is>
      </c>
      <c r="D359" s="5" t="inlineStr">
        <is>
          <t>ส่งออก CSV</t>
        </is>
      </c>
      <c r="E359" s="10" t="inlineStr">
        <is>
          <t>Functional</t>
        </is>
      </c>
      <c r="F359" s="5" t="inlineStr">
        <is>
          <t>เข้าสู่ระบบแล้ว</t>
        </is>
      </c>
      <c r="G359" s="5" t="inlineStr">
        <is>
          <t>1. คลิก "CSV"</t>
        </is>
      </c>
      <c r="H359" s="5" t="inlineStr">
        <is>
          <t>-</t>
        </is>
      </c>
      <c r="I359" s="5" t="inlineStr">
        <is>
          <t>ไฟล์มีคอลัมน์ รหัส,ชื่อ,คงเหลือ,WH-SKN,WH-RYG,จุดสั่งซื้อ,สูงสุด; toast "ส่งออก CSV แล้ว"</t>
        </is>
      </c>
      <c r="J359" s="10" t="inlineStr">
        <is>
          <t>Low</t>
        </is>
      </c>
      <c r="K359" s="5" t="inlineStr">
        <is>
          <t>เจ้าหน้าที่คลัง (store)</t>
        </is>
      </c>
      <c r="L359" s="5" t="n"/>
      <c r="M359" s="10" t="inlineStr">
        <is>
          <t>ยังไม่ทดสอบ</t>
        </is>
      </c>
      <c r="N359" s="5" t="n"/>
      <c r="O359" s="18" t="n"/>
      <c r="P359" s="5" t="n"/>
      <c r="Q359" s="5" t="inlineStr">
        <is>
          <t>2b1d5dab</t>
        </is>
      </c>
    </row>
    <row r="360" ht="18.5" customHeight="1">
      <c r="A360" s="10" t="inlineStr">
        <is>
          <t>UAT-SP-016</t>
        </is>
      </c>
      <c r="B360" s="5" t="inlineStr">
        <is>
          <t>คลังอะไหล่ (Spare Parts)</t>
        </is>
      </c>
      <c r="C360" s="5" t="inlineStr">
        <is>
          <t>คลังอะไหล่</t>
        </is>
      </c>
      <c r="D360" s="5" t="inlineStr">
        <is>
          <t>ช่างดูได้แต่ปรับยอดไม่ได้</t>
        </is>
      </c>
      <c r="E360" s="10" t="inlineStr">
        <is>
          <t>Permission</t>
        </is>
      </c>
      <c r="F360" s="5" t="inlineStr">
        <is>
          <t>ล็อกอินเป็นช่าง</t>
        </is>
      </c>
      <c r="G360" s="5" t="inlineStr">
        <is>
          <t>1. เปิดหน้าคลังอะไหล่</t>
        </is>
      </c>
      <c r="H360" s="5" t="inlineStr">
        <is>
          <t>-</t>
        </is>
      </c>
      <c r="I360" s="5" t="inlineStr">
        <is>
          <t>ไม่มีปุ่ม อะไหล่ใหม่/รับเข้า/ปรับปรุง</t>
        </is>
      </c>
      <c r="J360" s="10" t="inlineStr">
        <is>
          <t>High</t>
        </is>
      </c>
      <c r="K360" s="5" t="inlineStr">
        <is>
          <t>ช่างซ่อมบำรุง (somchai)</t>
        </is>
      </c>
      <c r="L360" s="5" t="n"/>
      <c r="M360" s="10" t="inlineStr">
        <is>
          <t>ยังไม่ทดสอบ</t>
        </is>
      </c>
      <c r="N360" s="5" t="n"/>
      <c r="O360" s="18" t="n"/>
      <c r="P360" s="5" t="n"/>
      <c r="Q360" s="5" t="inlineStr">
        <is>
          <t>2b1d5dab</t>
        </is>
      </c>
    </row>
    <row r="361" ht="33" customHeight="1">
      <c r="A361" s="10" t="inlineStr">
        <is>
          <t>UAT-SP-017</t>
        </is>
      </c>
      <c r="B361" s="5" t="inlineStr">
        <is>
          <t>คลังอะไหล่ (Spare Parts)</t>
        </is>
      </c>
      <c r="C361" s="5" t="inlineStr">
        <is>
          <t>คลังอะไหล่</t>
        </is>
      </c>
      <c r="D361" s="5" t="inlineStr">
        <is>
          <t>ค้นหาไม่พบข้อมูล (คลังอะไหล่)</t>
        </is>
      </c>
      <c r="E361" s="10" t="inlineStr">
        <is>
          <t>Negative</t>
        </is>
      </c>
      <c r="F361" s="5" t="inlineStr">
        <is>
          <t>เข้าสู่ระบบแล้ว และอยู่ที่หน้าคลังอะไหล่</t>
        </is>
      </c>
      <c r="G361" s="5" t="inlineStr">
        <is>
          <t>1. พิมพ์คำค้นที่ไม่มีอยู่จริงในช่อง "ค้นหา รหัส / ชื่อ / สเปก"
2. สังเกตตาราง/รายการ</t>
        </is>
      </c>
      <c r="H361" s="5" t="inlineStr">
        <is>
          <t>คำค้น: ZZZ-NOTFOUND-999</t>
        </is>
      </c>
      <c r="I36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61" s="10" t="inlineStr">
        <is>
          <t>Low</t>
        </is>
      </c>
      <c r="K361" s="5" t="inlineStr">
        <is>
          <t>เจ้าหน้าที่คลัง (store)</t>
        </is>
      </c>
      <c r="L361" s="5" t="n"/>
      <c r="M361" s="10" t="inlineStr">
        <is>
          <t>ยังไม่ทดสอบ</t>
        </is>
      </c>
      <c r="N361" s="5" t="n"/>
      <c r="O361" s="18" t="n"/>
      <c r="P361" s="5" t="n"/>
      <c r="Q361" s="5" t="inlineStr">
        <is>
          <t>2b1d5dab</t>
        </is>
      </c>
    </row>
    <row r="362" ht="47.5" customHeight="1">
      <c r="A362" s="10" t="inlineStr">
        <is>
          <t>UAT-SP-018</t>
        </is>
      </c>
      <c r="B362" s="5" t="inlineStr">
        <is>
          <t>คลังอะไหล่ (Spare Parts)</t>
        </is>
      </c>
      <c r="C362" s="5" t="inlineStr">
        <is>
          <t>คลังอะไหล่</t>
        </is>
      </c>
      <c r="D362" s="5" t="inlineStr">
        <is>
          <t>ค้นหาด้วยคำค้นที่มีอยู่จริง (คลังอะไหล่)</t>
        </is>
      </c>
      <c r="E362" s="10" t="inlineStr">
        <is>
          <t>Functional</t>
        </is>
      </c>
      <c r="F362" s="5" t="inlineStr">
        <is>
          <t>เข้าสู่ระบบแล้ว และอยู่ที่หน้าคลังอะไหล่</t>
        </is>
      </c>
      <c r="G362" s="5" t="inlineStr">
        <is>
          <t>1. พิมพ์คำค้นในช่อง "ค้นหา รหัส / ชื่อ / สเปก"
2. ตรวจรายการที่แสดง
3. ล้างคำค้น</t>
        </is>
      </c>
      <c r="H362" s="5" t="inlineStr">
        <is>
          <t>คำค้น: 6205</t>
        </is>
      </c>
      <c r="I362" s="5" t="inlineStr">
        <is>
          <t>แสดงเฉพาะรายการที่ตรงกับคำค้น (ลูกปืน 6205-2RS); เมื่อล้างคำค้นรายการกลับมาครบ</t>
        </is>
      </c>
      <c r="J362" s="10" t="inlineStr">
        <is>
          <t>Medium</t>
        </is>
      </c>
      <c r="K362" s="5" t="inlineStr">
        <is>
          <t>เจ้าหน้าที่คลัง (store)</t>
        </is>
      </c>
      <c r="L362" s="5" t="n"/>
      <c r="M362" s="10" t="inlineStr">
        <is>
          <t>ยังไม่ทดสอบ</t>
        </is>
      </c>
      <c r="N362" s="5" t="n"/>
      <c r="O362" s="18" t="n"/>
      <c r="P362" s="5" t="n"/>
      <c r="Q362" s="5" t="inlineStr">
        <is>
          <t>2b1d5dab</t>
        </is>
      </c>
    </row>
    <row r="363" ht="62" customHeight="1">
      <c r="A363" s="10" t="inlineStr">
        <is>
          <t>UAT-SP-019</t>
        </is>
      </c>
      <c r="B363" s="5" t="inlineStr">
        <is>
          <t>คลังอะไหล่ (Spare Parts)</t>
        </is>
      </c>
      <c r="C363" s="5" t="inlineStr">
        <is>
          <t>คลังอะไหล่</t>
        </is>
      </c>
      <c r="D363" s="5" t="inlineStr">
        <is>
          <t>แสดงผลบนมือถือ 375px (คลังอะไหล่)</t>
        </is>
      </c>
      <c r="E363" s="10" t="inlineStr">
        <is>
          <t>Responsive</t>
        </is>
      </c>
      <c r="F363" s="5" t="inlineStr">
        <is>
          <t>เข้าสู่ระบบแล้ว; เปิด DevTools โหมดอุปกรณ์ iPhone SE/375×667</t>
        </is>
      </c>
      <c r="G36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363" s="5" t="inlineStr">
        <is>
          <t>ความกว้าง 375px</t>
        </is>
      </c>
      <c r="I36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363" s="10" t="inlineStr">
        <is>
          <t>Medium</t>
        </is>
      </c>
      <c r="K363" s="5" t="inlineStr">
        <is>
          <t>เจ้าหน้าที่คลัง (store)</t>
        </is>
      </c>
      <c r="L363" s="5" t="n"/>
      <c r="M363" s="10" t="inlineStr">
        <is>
          <t>ยังไม่ทดสอบ</t>
        </is>
      </c>
      <c r="N363" s="5" t="n"/>
      <c r="O363" s="18" t="n"/>
      <c r="P363" s="5" t="n"/>
      <c r="Q363" s="5" t="inlineStr">
        <is>
          <t>2b1d5dab</t>
        </is>
      </c>
    </row>
    <row r="364" ht="62" customHeight="1">
      <c r="A364" s="10" t="inlineStr">
        <is>
          <t>UAT-SP-020</t>
        </is>
      </c>
      <c r="B364" s="5" t="inlineStr">
        <is>
          <t>คลังอะไหล่ (Spare Parts)</t>
        </is>
      </c>
      <c r="C364" s="5" t="inlineStr">
        <is>
          <t>คลังอะไหล่</t>
        </is>
      </c>
      <c r="D364" s="5" t="inlineStr">
        <is>
          <t>แสดงผลบน Desktop 1920px และความอ่านง่ายธีมมืด (คลังอะไหล่)</t>
        </is>
      </c>
      <c r="E364" s="10" t="inlineStr">
        <is>
          <t>UI</t>
        </is>
      </c>
      <c r="F364" s="5" t="inlineStr">
        <is>
          <t>เข้าสู่ระบบแล้ว; หน้าจอ 1920×1080</t>
        </is>
      </c>
      <c r="G36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364" s="5" t="inlineStr">
        <is>
          <t>ความกว้าง 1920px</t>
        </is>
      </c>
      <c r="I36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364" s="10" t="inlineStr">
        <is>
          <t>Low</t>
        </is>
      </c>
      <c r="K364" s="5" t="inlineStr">
        <is>
          <t>เจ้าหน้าที่คลัง (store)</t>
        </is>
      </c>
      <c r="L364" s="5" t="n"/>
      <c r="M364" s="10" t="inlineStr">
        <is>
          <t>ยังไม่ทดสอบ</t>
        </is>
      </c>
      <c r="N364" s="5" t="n"/>
      <c r="O364" s="18" t="n"/>
      <c r="P364" s="5" t="n"/>
      <c r="Q364" s="5" t="inlineStr">
        <is>
          <t>2b1d5dab</t>
        </is>
      </c>
    </row>
    <row r="365" ht="47.5" customHeight="1">
      <c r="A365" s="10" t="inlineStr">
        <is>
          <t>UAT-PUR-001</t>
        </is>
      </c>
      <c r="B365" s="5" t="inlineStr">
        <is>
          <t>จัดซื้อ PR/PO &amp; สัญญา</t>
        </is>
      </c>
      <c r="C365" s="5" t="inlineStr">
        <is>
          <t>จัดซื้อ PR/PO &amp; สัญญา</t>
        </is>
      </c>
      <c r="D365" s="5" t="inlineStr">
        <is>
          <t>แท็บ PR / PO / สัญญา MA</t>
        </is>
      </c>
      <c r="E365" s="10" t="inlineStr">
        <is>
          <t>Functional</t>
        </is>
      </c>
      <c r="F365" s="5" t="inlineStr">
        <is>
          <t>เข้าสู่ระบบแล้ว</t>
        </is>
      </c>
      <c r="G365" s="5" t="inlineStr">
        <is>
          <t>1. คลิกแต่ละแท็บ</t>
        </is>
      </c>
      <c r="H365" s="5" t="inlineStr">
        <is>
          <t>-</t>
        </is>
      </c>
      <c r="I365" s="5" t="inlineStr">
        <is>
          <t>PR: เลขที่, วัตถุประสงค์/รายการ, ผู้ขอ, ยอดรวม, สถานะ; PO: เลขที่ PO, ผู้ขาย, PR อ้างอิง, ยอด, กำหนดส่ง, สถานะ; สัญญา: ผู้ขาย, ประเภท, ทรัพย์สินที่ครอบคลุม, ระยะเวลา, มูลค่า/ปี</t>
        </is>
      </c>
      <c r="J365" s="10" t="inlineStr">
        <is>
          <t>Medium</t>
        </is>
      </c>
      <c r="K365" s="5" t="inlineStr">
        <is>
          <t>เจ้าหน้าที่จัดซื้อ (purchase)</t>
        </is>
      </c>
      <c r="L365" s="5" t="n"/>
      <c r="M365" s="10" t="inlineStr">
        <is>
          <t>ยังไม่ทดสอบ</t>
        </is>
      </c>
      <c r="N365" s="5" t="n"/>
      <c r="O365" s="18" t="n"/>
      <c r="P365" s="5" t="n"/>
      <c r="Q365" s="5" t="inlineStr">
        <is>
          <t>ca34cc73</t>
        </is>
      </c>
    </row>
    <row r="366" ht="62" customHeight="1">
      <c r="A366" s="10" t="inlineStr">
        <is>
          <t>UAT-PUR-002</t>
        </is>
      </c>
      <c r="B366" s="5" t="inlineStr">
        <is>
          <t>จัดซื้อ PR/PO &amp; สัญญา</t>
        </is>
      </c>
      <c r="C366" s="5" t="inlineStr">
        <is>
          <t>จัดซื้อ PR/PO &amp; สัญญา</t>
        </is>
      </c>
      <c r="D366" s="5" t="inlineStr">
        <is>
          <t>สร้าง PR หลายรายการและคำนวณยอดรวม</t>
        </is>
      </c>
      <c r="E366" s="10" t="inlineStr">
        <is>
          <t>Functional</t>
        </is>
      </c>
      <c r="F366" s="5" t="inlineStr">
        <is>
          <t>มีสิทธิ์ จัดการ PR/PO</t>
        </is>
      </c>
      <c r="G366" s="5" t="inlineStr">
        <is>
          <t>1. คลิก "+ ใบขอซื้อ"
2. เลือกประเภท งบประมาณ ไซต์ ศูนย์ต้นทุน กรอกวัตถุประสงค์
3. "+ เพิ่มรายการ" 2 บรรทัด (ชื่อ จำนวน หน่วย ราคา/หน่วย)
4. กด "บันทึกและส่งอนุมัติ"</t>
        </is>
      </c>
      <c r="H366" s="5" t="inlineStr">
        <is>
          <t>ขอซื้อทั่วไป; OPEX; โรงงาน A; CC-1001; ฟิลเตอร์แอร์ 10 ชิ้น × 450; คอนแทคเตอร์ 4 ตัว × 1,250</t>
        </is>
      </c>
      <c r="I366" s="5" t="inlineStr">
        <is>
          <t>ยอดรวมแสดงแบบ real-time = 9,500.00 บาท; toast "สร้าง PR-… และส่งอนุมัติแล้ว"; สถานะ "รออนุมัติ"</t>
        </is>
      </c>
      <c r="J366" s="10" t="inlineStr">
        <is>
          <t>High</t>
        </is>
      </c>
      <c r="K366" s="5" t="inlineStr">
        <is>
          <t>เจ้าหน้าที่จัดซื้อ (purchase)</t>
        </is>
      </c>
      <c r="L366" s="5" t="n"/>
      <c r="M366" s="10" t="inlineStr">
        <is>
          <t>ยังไม่ทดสอบ</t>
        </is>
      </c>
      <c r="N366" s="5" t="n"/>
      <c r="O366" s="18" t="n"/>
      <c r="P366" s="5" t="n"/>
      <c r="Q366" s="5" t="inlineStr">
        <is>
          <t>ca34cc73</t>
        </is>
      </c>
    </row>
    <row r="367" ht="18.5" customHeight="1">
      <c r="A367" s="10" t="inlineStr">
        <is>
          <t>UAT-PUR-003</t>
        </is>
      </c>
      <c r="B367" s="5" t="inlineStr">
        <is>
          <t>จัดซื้อ PR/PO &amp; สัญญา</t>
        </is>
      </c>
      <c r="C367" s="5" t="inlineStr">
        <is>
          <t>จัดซื้อ PR/PO &amp; สัญญา</t>
        </is>
      </c>
      <c r="D367" s="5" t="inlineStr">
        <is>
          <t>ลบบรรทัดรายการ</t>
        </is>
      </c>
      <c r="E367" s="10" t="inlineStr">
        <is>
          <t>Functional</t>
        </is>
      </c>
      <c r="F367" s="5" t="inlineStr">
        <is>
          <t>ฟอร์ม PR มี 2 บรรทัด</t>
        </is>
      </c>
      <c r="G367" s="5" t="inlineStr">
        <is>
          <t>1. คลิก "ลบรายการ" บรรทัดที่ 2</t>
        </is>
      </c>
      <c r="H367" s="5" t="inlineStr">
        <is>
          <t>-</t>
        </is>
      </c>
      <c r="I367" s="5" t="inlineStr">
        <is>
          <t>บรรทัดถูกลบ ยอดรวมคำนวณใหม่</t>
        </is>
      </c>
      <c r="J367" s="10" t="inlineStr">
        <is>
          <t>Low</t>
        </is>
      </c>
      <c r="K367" s="5" t="inlineStr">
        <is>
          <t>เจ้าหน้าที่จัดซื้อ (purchase)</t>
        </is>
      </c>
      <c r="L367" s="5" t="n"/>
      <c r="M367" s="10" t="inlineStr">
        <is>
          <t>ยังไม่ทดสอบ</t>
        </is>
      </c>
      <c r="N367" s="5" t="n"/>
      <c r="O367" s="18" t="n"/>
      <c r="P367" s="5" t="n"/>
      <c r="Q367" s="5" t="inlineStr">
        <is>
          <t>ca34cc73</t>
        </is>
      </c>
    </row>
    <row r="368" ht="47.5" customHeight="1">
      <c r="A368" s="10" t="inlineStr">
        <is>
          <t>UAT-PUR-004</t>
        </is>
      </c>
      <c r="B368" s="5" t="inlineStr">
        <is>
          <t>จัดซื้อ PR/PO &amp; สัญญา</t>
        </is>
      </c>
      <c r="C368" s="5" t="inlineStr">
        <is>
          <t>จัดซื้อ PR/PO &amp; สัญญา</t>
        </is>
      </c>
      <c r="D368" s="5" t="inlineStr">
        <is>
          <t>สร้าง PR ไม่มีวัตถุประสงค์/รายการ</t>
        </is>
      </c>
      <c r="E368" s="10" t="inlineStr">
        <is>
          <t>Validation</t>
        </is>
      </c>
      <c r="F368" s="5" t="inlineStr">
        <is>
          <t>เปิดฟอร์ม PR</t>
        </is>
      </c>
      <c r="G368" s="5" t="inlineStr">
        <is>
          <t>1. เว้นว่างวัตถุประสงค์และชื่อรายการ
2. กดบันทึก</t>
        </is>
      </c>
      <c r="H368" s="5" t="inlineStr">
        <is>
          <t>-</t>
        </is>
      </c>
      <c r="I368" s="5" t="inlineStr">
        <is>
          <t>ระบบต้องแจ้งให้กรอกวัตถุประสงค์และรายการอย่างน้อย 1 รายการ ไม่บันทึก</t>
        </is>
      </c>
      <c r="J368" s="10" t="inlineStr">
        <is>
          <t>High</t>
        </is>
      </c>
      <c r="K368" s="5" t="inlineStr">
        <is>
          <t>เจ้าหน้าที่จัดซื้อ (purchase)</t>
        </is>
      </c>
      <c r="L368" s="5" t="n"/>
      <c r="M368" s="10" t="inlineStr">
        <is>
          <t>ยังไม่ทดสอบ</t>
        </is>
      </c>
      <c r="N368" s="5" t="n"/>
      <c r="O368" s="18" t="n"/>
      <c r="P368" s="5" t="inlineStr">
        <is>
          <t>ข้อสังเกต mockup: ปัจจุบันบันทึกได้โดยตั้งค่า "ใบขอซื้อใหม่"/"รายการที่ไม่ระบุ" อัตโนมัติ — ควรเพิ่ม validation</t>
        </is>
      </c>
      <c r="Q368" s="5" t="inlineStr">
        <is>
          <t>ca34cc73</t>
        </is>
      </c>
    </row>
    <row r="369" ht="18.5" customHeight="1">
      <c r="A369" s="10" t="inlineStr">
        <is>
          <t>UAT-PUR-005</t>
        </is>
      </c>
      <c r="B369" s="5" t="inlineStr">
        <is>
          <t>จัดซื้อ PR/PO &amp; สัญญา</t>
        </is>
      </c>
      <c r="C369" s="5" t="inlineStr">
        <is>
          <t>จัดซื้อ PR/PO &amp; สัญญา</t>
        </is>
      </c>
      <c r="D369" s="5" t="inlineStr">
        <is>
          <t>จำนวน/ราคาติดลบ</t>
        </is>
      </c>
      <c r="E369" s="10" t="inlineStr">
        <is>
          <t>Validation</t>
        </is>
      </c>
      <c r="F369" s="5" t="inlineStr">
        <is>
          <t>เปิดฟอร์ม PR</t>
        </is>
      </c>
      <c r="G369" s="5" t="inlineStr">
        <is>
          <t>1. กรอกจำนวน −2 หรือราคา −100</t>
        </is>
      </c>
      <c r="H369" s="5" t="inlineStr">
        <is>
          <t>-</t>
        </is>
      </c>
      <c r="I369" s="5" t="inlineStr">
        <is>
          <t>ไม่ยอมรับค่าติดลบ</t>
        </is>
      </c>
      <c r="J369" s="10" t="inlineStr">
        <is>
          <t>Medium</t>
        </is>
      </c>
      <c r="K369" s="5" t="inlineStr">
        <is>
          <t>เจ้าหน้าที่จัดซื้อ (purchase)</t>
        </is>
      </c>
      <c r="L369" s="5" t="n"/>
      <c r="M369" s="10" t="inlineStr">
        <is>
          <t>ยังไม่ทดสอบ</t>
        </is>
      </c>
      <c r="N369" s="5" t="n"/>
      <c r="O369" s="18" t="n"/>
      <c r="P369" s="5" t="n"/>
      <c r="Q369" s="5" t="inlineStr">
        <is>
          <t>ca34cc73</t>
        </is>
      </c>
    </row>
    <row r="370" ht="76.5" customHeight="1">
      <c r="A370" s="10" t="inlineStr">
        <is>
          <t>UAT-PUR-006</t>
        </is>
      </c>
      <c r="B370" s="5" t="inlineStr">
        <is>
          <t>จัดซื้อ PR/PO &amp; สัญญา</t>
        </is>
      </c>
      <c r="C370" s="5" t="inlineStr">
        <is>
          <t>จัดซื้อ PR/PO &amp; สัญญา</t>
        </is>
      </c>
      <c r="D370" s="5" t="inlineStr">
        <is>
          <t>เพิ่มฟิลด์เพิ่มเติม (Custom Field) ในฟอร์มใบขอซื้อ (PR) — เช่น เลขที่ใบเสนอราคา</t>
        </is>
      </c>
      <c r="E370" s="10" t="inlineStr">
        <is>
          <t>Functional</t>
        </is>
      </c>
      <c r="F370" s="5" t="inlineStr">
        <is>
          <t>เข้าสู่ระบบแล้ว; เปิดฟอร์มใบขอซื้อ (PR) — เช่น เลขที่ใบเสนอราคา</t>
        </is>
      </c>
      <c r="G370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370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370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370" s="10" t="inlineStr">
        <is>
          <t>Medium</t>
        </is>
      </c>
      <c r="K370" s="5" t="inlineStr">
        <is>
          <t>เจ้าหน้าที่จัดซื้อ (purchase)</t>
        </is>
      </c>
      <c r="L370" s="5" t="n"/>
      <c r="M370" s="10" t="inlineStr">
        <is>
          <t>ยังไม่ทดสอบ</t>
        </is>
      </c>
      <c r="N370" s="5" t="n"/>
      <c r="O370" s="18" t="n"/>
      <c r="P370" s="5" t="n"/>
      <c r="Q370" s="5" t="inlineStr">
        <is>
          <t>ca34cc73</t>
        </is>
      </c>
    </row>
    <row r="371" ht="33" customHeight="1">
      <c r="A371" s="10" t="inlineStr">
        <is>
          <t>UAT-PUR-007</t>
        </is>
      </c>
      <c r="B371" s="5" t="inlineStr">
        <is>
          <t>จัดซื้อ PR/PO &amp; สัญญา</t>
        </is>
      </c>
      <c r="C371" s="5" t="inlineStr">
        <is>
          <t>จัดซื้อ PR/PO &amp; สัญญา</t>
        </is>
      </c>
      <c r="D371" s="5" t="inlineStr">
        <is>
          <t>อนุมัติ PR</t>
        </is>
      </c>
      <c r="E371" s="10" t="inlineStr">
        <is>
          <t>Functional</t>
        </is>
      </c>
      <c r="F371" s="5" t="inlineStr">
        <is>
          <t>PR รออนุมัติ; ล็อกอินผู้มีสิทธิ์ อนุมัติ PR/PO (ไม่ใช่ผู้ขอ)</t>
        </is>
      </c>
      <c r="G371" s="5" t="inlineStr">
        <is>
          <t>1. เปิด drawer PR
2. กดอนุมัติ</t>
        </is>
      </c>
      <c r="H371" s="5" t="inlineStr">
        <is>
          <t>-</t>
        </is>
      </c>
      <c r="I371" s="5" t="inlineStr">
        <is>
          <t>สถานะ "อนุมัติแล้ว"; ไทม์ไลน์ PR สร้าง → อนุมัติ ✓; ผู้ขอได้รับแจ้งเตือน</t>
        </is>
      </c>
      <c r="J371" s="10" t="inlineStr">
        <is>
          <t>High</t>
        </is>
      </c>
      <c r="K371" s="5" t="inlineStr">
        <is>
          <t>ผู้บริหาร (exec)</t>
        </is>
      </c>
      <c r="L371" s="5" t="n"/>
      <c r="M371" s="10" t="inlineStr">
        <is>
          <t>ยังไม่ทดสอบ</t>
        </is>
      </c>
      <c r="N371" s="5" t="n"/>
      <c r="O371" s="18" t="n"/>
      <c r="P371" s="5" t="n"/>
      <c r="Q371" s="5" t="inlineStr">
        <is>
          <t>ca34cc73</t>
        </is>
      </c>
    </row>
    <row r="372" ht="18.5" customHeight="1">
      <c r="A372" s="10" t="inlineStr">
        <is>
          <t>UAT-PUR-008</t>
        </is>
      </c>
      <c r="B372" s="5" t="inlineStr">
        <is>
          <t>จัดซื้อ PR/PO &amp; สัญญา</t>
        </is>
      </c>
      <c r="C372" s="5" t="inlineStr">
        <is>
          <t>จัดซื้อ PR/PO &amp; สัญญา</t>
        </is>
      </c>
      <c r="D372" s="5" t="inlineStr">
        <is>
          <t>ผู้ขออนุมัติ PR ของตนเองไม่ได้</t>
        </is>
      </c>
      <c r="E372" s="10" t="inlineStr">
        <is>
          <t>Permission</t>
        </is>
      </c>
      <c r="F372" s="5" t="inlineStr">
        <is>
          <t>ผู้ใช้เป็นผู้สร้าง PR</t>
        </is>
      </c>
      <c r="G372" s="5" t="inlineStr">
        <is>
          <t>1. เปิด PR ของตน กดอนุมัติ</t>
        </is>
      </c>
      <c r="H372" s="5" t="inlineStr">
        <is>
          <t>-</t>
        </is>
      </c>
      <c r="I372" s="5" t="inlineStr">
        <is>
          <t>ระบบปฏิเสธ (แบ่งแยกหน้าที่)</t>
        </is>
      </c>
      <c r="J372" s="10" t="inlineStr">
        <is>
          <t>High</t>
        </is>
      </c>
      <c r="K372" s="5" t="inlineStr">
        <is>
          <t>เจ้าหน้าที่จัดซื้อ (purchase)</t>
        </is>
      </c>
      <c r="L372" s="5" t="n"/>
      <c r="M372" s="10" t="inlineStr">
        <is>
          <t>ยังไม่ทดสอบ</t>
        </is>
      </c>
      <c r="N372" s="5" t="n"/>
      <c r="O372" s="18" t="n"/>
      <c r="P372" s="5" t="n"/>
      <c r="Q372" s="5" t="inlineStr">
        <is>
          <t>ca34cc73</t>
        </is>
      </c>
    </row>
    <row r="373" ht="18.5" customHeight="1">
      <c r="A373" s="10" t="inlineStr">
        <is>
          <t>UAT-PUR-009</t>
        </is>
      </c>
      <c r="B373" s="5" t="inlineStr">
        <is>
          <t>จัดซื้อ PR/PO &amp; สัญญา</t>
        </is>
      </c>
      <c r="C373" s="5" t="inlineStr">
        <is>
          <t>จัดซื้อ PR/PO &amp; สัญญา</t>
        </is>
      </c>
      <c r="D373" s="5" t="inlineStr">
        <is>
          <t>ไม่อนุมัติ PR</t>
        </is>
      </c>
      <c r="E373" s="10" t="inlineStr">
        <is>
          <t>Functional</t>
        </is>
      </c>
      <c r="F373" s="5" t="inlineStr">
        <is>
          <t>PR รออนุมัติ</t>
        </is>
      </c>
      <c r="G373" s="5" t="inlineStr">
        <is>
          <t>1. กดไม่อนุมัติ ระบุเหตุผล</t>
        </is>
      </c>
      <c r="H373" s="5" t="inlineStr">
        <is>
          <t>-</t>
        </is>
      </c>
      <c r="I373" s="5" t="inlineStr">
        <is>
          <t>สถานะ ไม่อนุมัติ; เหตุผลบันทึก; ไม่สามารถออก PO</t>
        </is>
      </c>
      <c r="J373" s="10" t="inlineStr">
        <is>
          <t>Medium</t>
        </is>
      </c>
      <c r="K373" s="5" t="inlineStr">
        <is>
          <t>ผู้บริหาร (exec)</t>
        </is>
      </c>
      <c r="L373" s="5" t="n"/>
      <c r="M373" s="10" t="inlineStr">
        <is>
          <t>ยังไม่ทดสอบ</t>
        </is>
      </c>
      <c r="N373" s="5" t="n"/>
      <c r="O373" s="18" t="n"/>
      <c r="P373" s="5" t="n"/>
      <c r="Q373" s="5" t="inlineStr">
        <is>
          <t>ca34cc73</t>
        </is>
      </c>
    </row>
    <row r="374" ht="33" customHeight="1">
      <c r="A374" s="10" t="inlineStr">
        <is>
          <t>UAT-PUR-010</t>
        </is>
      </c>
      <c r="B374" s="5" t="inlineStr">
        <is>
          <t>จัดซื้อ PR/PO &amp; สัญญา</t>
        </is>
      </c>
      <c r="C374" s="5" t="inlineStr">
        <is>
          <t>จัดซื้อ PR/PO &amp; สัญญา</t>
        </is>
      </c>
      <c r="D374" s="5" t="inlineStr">
        <is>
          <t>ออก PO จาก PR ภายในวงเงิน</t>
        </is>
      </c>
      <c r="E374" s="10" t="inlineStr">
        <is>
          <t>Functional</t>
        </is>
      </c>
      <c r="F374" s="5" t="inlineStr">
        <is>
          <t>PR อนุมัติแล้ว ยอด ≤ 50,000 (วงเงิน PO ที่ผู้จัดซื้อออกเองได้)</t>
        </is>
      </c>
      <c r="G374" s="5" t="inlineStr">
        <is>
          <t>1. ออก PO เลือกผู้ขาย กำหนดส่ง</t>
        </is>
      </c>
      <c r="H374" s="5" t="inlineStr">
        <is>
          <t>ยอด 21,030</t>
        </is>
      </c>
      <c r="I374" s="5" t="inlineStr">
        <is>
          <t>PO สถานะ รอส่ง; PR สถานะ "ออก PO แล้ว"; งบ CAPEX/OPEX ผูกพันเพิ่ม</t>
        </is>
      </c>
      <c r="J374" s="10" t="inlineStr">
        <is>
          <t>High</t>
        </is>
      </c>
      <c r="K374" s="5" t="inlineStr">
        <is>
          <t>เจ้าหน้าที่จัดซื้อ (purchase)</t>
        </is>
      </c>
      <c r="L374" s="5" t="n"/>
      <c r="M374" s="10" t="inlineStr">
        <is>
          <t>ยังไม่ทดสอบ</t>
        </is>
      </c>
      <c r="N374" s="5" t="n"/>
      <c r="O374" s="18" t="n"/>
      <c r="P374" s="5" t="n"/>
      <c r="Q374" s="5" t="inlineStr">
        <is>
          <t>ca34cc73</t>
        </is>
      </c>
    </row>
    <row r="375" ht="18.5" customHeight="1">
      <c r="A375" s="10" t="inlineStr">
        <is>
          <t>UAT-PUR-011</t>
        </is>
      </c>
      <c r="B375" s="5" t="inlineStr">
        <is>
          <t>จัดซื้อ PR/PO &amp; สัญญา</t>
        </is>
      </c>
      <c r="C375" s="5" t="inlineStr">
        <is>
          <t>จัดซื้อ PR/PO &amp; สัญญา</t>
        </is>
      </c>
      <c r="D375" s="5" t="inlineStr">
        <is>
          <t>ออก PO เกินวงเงินต้องอนุมัติ</t>
        </is>
      </c>
      <c r="E375" s="10" t="inlineStr">
        <is>
          <t>Permission</t>
        </is>
      </c>
      <c r="F375" s="5" t="inlineStr">
        <is>
          <t>PR ยอด 58,000 &gt; 50,000</t>
        </is>
      </c>
      <c r="G375" s="5" t="inlineStr">
        <is>
          <t>1. ผู้จัดซื้อออก PO</t>
        </is>
      </c>
      <c r="H375" s="5" t="inlineStr">
        <is>
          <t>-</t>
        </is>
      </c>
      <c r="I375" s="5" t="inlineStr">
        <is>
          <t>ระบบบังคับส่งผู้อนุมัติก่อนออก PO</t>
        </is>
      </c>
      <c r="J375" s="10" t="inlineStr">
        <is>
          <t>High</t>
        </is>
      </c>
      <c r="K375" s="5" t="inlineStr">
        <is>
          <t>เจ้าหน้าที่จัดซื้อ (purchase)</t>
        </is>
      </c>
      <c r="L375" s="5" t="n"/>
      <c r="M375" s="10" t="inlineStr">
        <is>
          <t>ยังไม่ทดสอบ</t>
        </is>
      </c>
      <c r="N375" s="5" t="n"/>
      <c r="O375" s="18" t="n"/>
      <c r="P375" s="5" t="n"/>
      <c r="Q375" s="5" t="inlineStr">
        <is>
          <t>ca34cc73</t>
        </is>
      </c>
    </row>
    <row r="376" ht="33" customHeight="1">
      <c r="A376" s="10" t="inlineStr">
        <is>
          <t>UAT-PUR-012</t>
        </is>
      </c>
      <c r="B376" s="5" t="inlineStr">
        <is>
          <t>จัดซื้อ PR/PO &amp; สัญญา</t>
        </is>
      </c>
      <c r="C376" s="5" t="inlineStr">
        <is>
          <t>จัดซื้อ PR/PO &amp; สัญญา</t>
        </is>
      </c>
      <c r="D376" s="5" t="inlineStr">
        <is>
          <t>รับของบางส่วน/ครบ</t>
        </is>
      </c>
      <c r="E376" s="10" t="inlineStr">
        <is>
          <t>Functional</t>
        </is>
      </c>
      <c r="F376" s="5" t="inlineStr">
        <is>
          <t>PO สถานะ รอส่ง</t>
        </is>
      </c>
      <c r="G376" s="5" t="inlineStr">
        <is>
          <t>1. กด "รับของ" บันทึกรับบางส่วน
2. กดรับของส่วนที่เหลือ</t>
        </is>
      </c>
      <c r="H376" s="5" t="inlineStr">
        <is>
          <t>-</t>
        </is>
      </c>
      <c r="I376" s="5" t="inlineStr">
        <is>
          <t>สถานะ "ส่งบางส่วน" → "รับครบ"; toast "บันทึกรับของ … ครบแล้ว · อัปเดตคลังอะไหล่"; ยอดคลังเพิ่ม ค้างรับลด</t>
        </is>
      </c>
      <c r="J376" s="10" t="inlineStr">
        <is>
          <t>High</t>
        </is>
      </c>
      <c r="K376" s="5" t="inlineStr">
        <is>
          <t>เจ้าหน้าที่คลัง (store)</t>
        </is>
      </c>
      <c r="L376" s="5" t="n"/>
      <c r="M376" s="10" t="inlineStr">
        <is>
          <t>ยังไม่ทดสอบ</t>
        </is>
      </c>
      <c r="N376" s="5" t="n"/>
      <c r="O376" s="18" t="n"/>
      <c r="P376" s="5" t="n"/>
      <c r="Q376" s="5" t="inlineStr">
        <is>
          <t>ca34cc73</t>
        </is>
      </c>
    </row>
    <row r="377" ht="47.5" customHeight="1">
      <c r="A377" s="10" t="inlineStr">
        <is>
          <t>UAT-PUR-013</t>
        </is>
      </c>
      <c r="B377" s="5" t="inlineStr">
        <is>
          <t>จัดซื้อ PR/PO &amp; สัญญา</t>
        </is>
      </c>
      <c r="C377" s="5" t="inlineStr">
        <is>
          <t>จัดซื้อ PR/PO &amp; สัญญา</t>
        </is>
      </c>
      <c r="D377" s="5" t="inlineStr">
        <is>
          <t>Drawer PR: ไทม์ไลน์และการเชื่อมโยง</t>
        </is>
      </c>
      <c r="E377" s="10" t="inlineStr">
        <is>
          <t>Functional</t>
        </is>
      </c>
      <c r="F377" s="5" t="inlineStr">
        <is>
          <t>PR-2569-0001 (ผูก WO-2569-0142 · CH-001)</t>
        </is>
      </c>
      <c r="G377" s="5" t="inlineStr">
        <is>
          <t>1. คลิกแถว PR</t>
        </is>
      </c>
      <c r="H377" s="5" t="inlineStr">
        <is>
          <t>-</t>
        </is>
      </c>
      <c r="I377" s="5" t="inlineStr">
        <is>
          <t>แสดงขั้น PR สร้าง → อนุมัติ → ออก PO → ผู้ขายจัดส่ง → รับของ → ขึ้นทะเบียนทรัพย์สิน พร้อมขั้นปัจจุบัน; ตารางรายการ/ราคา/ยอดรวม; ลิงก์ "เปิดดู" ไป WO/ทรัพย์สิน/ไลเซนส์</t>
        </is>
      </c>
      <c r="J377" s="10" t="inlineStr">
        <is>
          <t>Medium</t>
        </is>
      </c>
      <c r="K377" s="5" t="inlineStr">
        <is>
          <t>เจ้าหน้าที่จัดซื้อ (purchase)</t>
        </is>
      </c>
      <c r="L377" s="5" t="n"/>
      <c r="M377" s="10" t="inlineStr">
        <is>
          <t>ยังไม่ทดสอบ</t>
        </is>
      </c>
      <c r="N377" s="5" t="n"/>
      <c r="O377" s="18" t="n"/>
      <c r="P377" s="5" t="n"/>
      <c r="Q377" s="5" t="inlineStr">
        <is>
          <t>ca34cc73</t>
        </is>
      </c>
    </row>
    <row r="378" ht="33" customHeight="1">
      <c r="A378" s="10" t="inlineStr">
        <is>
          <t>UAT-PUR-014</t>
        </is>
      </c>
      <c r="B378" s="5" t="inlineStr">
        <is>
          <t>จัดซื้อ PR/PO &amp; สัญญา</t>
        </is>
      </c>
      <c r="C378" s="5" t="inlineStr">
        <is>
          <t>จัดซื้อ PR/PO &amp; สัญญา</t>
        </is>
      </c>
      <c r="D378" s="5" t="inlineStr">
        <is>
          <t>สัญญา MA ใกล้หมด</t>
        </is>
      </c>
      <c r="E378" s="10" t="inlineStr">
        <is>
          <t>UI</t>
        </is>
      </c>
      <c r="F378" s="5" t="inlineStr">
        <is>
          <t>มีสัญญาหมดใน ≤60 วัน</t>
        </is>
      </c>
      <c r="G378" s="5" t="inlineStr">
        <is>
          <t>1. แท็บ สัญญา MA/บริการ</t>
        </is>
      </c>
      <c r="H378" s="5" t="inlineStr">
        <is>
          <t>-</t>
        </is>
      </c>
      <c r="I378" s="5" t="inlineStr">
        <is>
          <t>แสดง "หมดใน n วัน" สีเตือน; KPI สัญญาใกล้หมด 60 วัน; ปฏิทินรวมมีเหตุการณ์สัญญาสิ้นสุด</t>
        </is>
      </c>
      <c r="J378" s="10" t="inlineStr">
        <is>
          <t>Medium</t>
        </is>
      </c>
      <c r="K378" s="5" t="inlineStr">
        <is>
          <t>เจ้าหน้าที่จัดซื้อ (purchase)</t>
        </is>
      </c>
      <c r="L378" s="5" t="n"/>
      <c r="M378" s="10" t="inlineStr">
        <is>
          <t>ยังไม่ทดสอบ</t>
        </is>
      </c>
      <c r="N378" s="5" t="n"/>
      <c r="O378" s="18" t="n"/>
      <c r="P378" s="5" t="n"/>
      <c r="Q378" s="5" t="inlineStr">
        <is>
          <t>ca34cc73</t>
        </is>
      </c>
    </row>
    <row r="379" ht="18.5" customHeight="1">
      <c r="A379" s="10" t="inlineStr">
        <is>
          <t>UAT-PUR-015</t>
        </is>
      </c>
      <c r="B379" s="5" t="inlineStr">
        <is>
          <t>จัดซื้อ PR/PO &amp; สัญญา</t>
        </is>
      </c>
      <c r="C379" s="5" t="inlineStr">
        <is>
          <t>จัดซื้อ PR/PO &amp; สัญญา</t>
        </is>
      </c>
      <c r="D379" s="5" t="inlineStr">
        <is>
          <t>กรองสถานะ PR</t>
        </is>
      </c>
      <c r="E379" s="10" t="inlineStr">
        <is>
          <t>Functional</t>
        </is>
      </c>
      <c r="F379" s="5" t="inlineStr">
        <is>
          <t>เข้าสู่ระบบแล้ว</t>
        </is>
      </c>
      <c r="G379" s="5" t="inlineStr">
        <is>
          <t>1. เลือก ร่าง/รออนุมัติ/อนุมัติแล้ว/ไม่อนุมัติ/ออก PO แล้ว/ยกเลิก</t>
        </is>
      </c>
      <c r="H379" s="5" t="inlineStr">
        <is>
          <t>-</t>
        </is>
      </c>
      <c r="I379" s="5" t="inlineStr">
        <is>
          <t>แสดงตามสถานะ; ไม่พบแสดง "ไม่พบใบขอซื้อที่ตรงเงื่อนไข"</t>
        </is>
      </c>
      <c r="J379" s="10" t="inlineStr">
        <is>
          <t>Low</t>
        </is>
      </c>
      <c r="K379" s="5" t="inlineStr">
        <is>
          <t>เจ้าหน้าที่จัดซื้อ (purchase)</t>
        </is>
      </c>
      <c r="L379" s="5" t="n"/>
      <c r="M379" s="10" t="inlineStr">
        <is>
          <t>ยังไม่ทดสอบ</t>
        </is>
      </c>
      <c r="N379" s="5" t="n"/>
      <c r="O379" s="18" t="n"/>
      <c r="P379" s="5" t="n"/>
      <c r="Q379" s="5" t="inlineStr">
        <is>
          <t>ca34cc73</t>
        </is>
      </c>
    </row>
    <row r="380" ht="18.5" customHeight="1">
      <c r="A380" s="10" t="inlineStr">
        <is>
          <t>UAT-PUR-016</t>
        </is>
      </c>
      <c r="B380" s="5" t="inlineStr">
        <is>
          <t>จัดซื้อ PR/PO &amp; สัญญา</t>
        </is>
      </c>
      <c r="C380" s="5" t="inlineStr">
        <is>
          <t>จัดซื้อ PR/PO &amp; สัญญา</t>
        </is>
      </c>
      <c r="D380" s="5" t="inlineStr">
        <is>
          <t>VAT 7% ใน PO</t>
        </is>
      </c>
      <c r="E380" s="10" t="inlineStr">
        <is>
          <t>Functional</t>
        </is>
      </c>
      <c r="F380" s="5" t="inlineStr">
        <is>
          <t>ตั้งค่า VAT 7%</t>
        </is>
      </c>
      <c r="G380" s="5" t="inlineStr">
        <is>
          <t>1. ออก PO ยอดก่อน VAT 10,000</t>
        </is>
      </c>
      <c r="H380" s="5" t="inlineStr">
        <is>
          <t>-</t>
        </is>
      </c>
      <c r="I380" s="5" t="inlineStr">
        <is>
          <t>VAT 700.00 ยอดสุทธิ 10,700.00</t>
        </is>
      </c>
      <c r="J380" s="10" t="inlineStr">
        <is>
          <t>Medium</t>
        </is>
      </c>
      <c r="K380" s="5" t="inlineStr">
        <is>
          <t>เจ้าหน้าที่จัดซื้อ (purchase)</t>
        </is>
      </c>
      <c r="L380" s="5" t="n"/>
      <c r="M380" s="10" t="inlineStr">
        <is>
          <t>ยังไม่ทดสอบ</t>
        </is>
      </c>
      <c r="N380" s="5" t="n"/>
      <c r="O380" s="18" t="n"/>
      <c r="P380" s="5" t="n"/>
      <c r="Q380" s="5" t="inlineStr">
        <is>
          <t>ca34cc73</t>
        </is>
      </c>
    </row>
    <row r="381" ht="18.5" customHeight="1">
      <c r="A381" s="10" t="inlineStr">
        <is>
          <t>UAT-PUR-017</t>
        </is>
      </c>
      <c r="B381" s="5" t="inlineStr">
        <is>
          <t>จัดซื้อ PR/PO &amp; สัญญา</t>
        </is>
      </c>
      <c r="C381" s="5" t="inlineStr">
        <is>
          <t>จัดซื้อ PR/PO &amp; สัญญา</t>
        </is>
      </c>
      <c r="D381" s="5" t="inlineStr">
        <is>
          <t>ผู้แจ้งซ่อมไม่เห็นเมนูจัดซื้อ</t>
        </is>
      </c>
      <c r="E381" s="10" t="inlineStr">
        <is>
          <t>Permission</t>
        </is>
      </c>
      <c r="F381" s="5" t="inlineStr">
        <is>
          <t>ล็อกอินเป็น user</t>
        </is>
      </c>
      <c r="G381" s="5" t="inlineStr">
        <is>
          <t>1. ตรวจ sidebar และ URL /purchase</t>
        </is>
      </c>
      <c r="H381" s="5" t="inlineStr">
        <is>
          <t>-</t>
        </is>
      </c>
      <c r="I381" s="5" t="inlineStr">
        <is>
          <t>ไม่มีเมนู; URL ตรงถูกปฏิเสธ</t>
        </is>
      </c>
      <c r="J381" s="10" t="inlineStr">
        <is>
          <t>Medium</t>
        </is>
      </c>
      <c r="K381" s="5" t="inlineStr">
        <is>
          <t>ผู้แจ้งซ่อม/ผู้ใช้งานทั่วไป (user)</t>
        </is>
      </c>
      <c r="L381" s="5" t="n"/>
      <c r="M381" s="10" t="inlineStr">
        <is>
          <t>ยังไม่ทดสอบ</t>
        </is>
      </c>
      <c r="N381" s="5" t="n"/>
      <c r="O381" s="18" t="n"/>
      <c r="P381" s="5" t="n"/>
      <c r="Q381" s="5" t="inlineStr">
        <is>
          <t>ca34cc73</t>
        </is>
      </c>
    </row>
    <row r="382" ht="33" customHeight="1">
      <c r="A382" s="10" t="inlineStr">
        <is>
          <t>UAT-PUR-018</t>
        </is>
      </c>
      <c r="B382" s="5" t="inlineStr">
        <is>
          <t>จัดซื้อ PR/PO &amp; สัญญา</t>
        </is>
      </c>
      <c r="C382" s="5" t="inlineStr">
        <is>
          <t>จัดซื้อ PR/PO &amp; สัญญา</t>
        </is>
      </c>
      <c r="D382" s="5" t="inlineStr">
        <is>
          <t>ค้นหาไม่พบข้อมูล (จัดซื้อ PR/PO &amp; สัญญา)</t>
        </is>
      </c>
      <c r="E382" s="10" t="inlineStr">
        <is>
          <t>Negative</t>
        </is>
      </c>
      <c r="F382" s="5" t="inlineStr">
        <is>
          <t>เข้าสู่ระบบแล้ว และอยู่ที่หน้าจัดซื้อ PR/PO &amp; สัญญา</t>
        </is>
      </c>
      <c r="G382" s="5" t="inlineStr">
        <is>
          <t>1. พิมพ์คำค้นที่ไม่มีอยู่จริงในช่อง "ค้นหาเลขที่ / วัตถุประสงค์"
2. สังเกตตาราง/รายการ</t>
        </is>
      </c>
      <c r="H382" s="5" t="inlineStr">
        <is>
          <t>คำค้น: ZZZ-NOTFOUND-999</t>
        </is>
      </c>
      <c r="I382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382" s="10" t="inlineStr">
        <is>
          <t>Low</t>
        </is>
      </c>
      <c r="K382" s="5" t="inlineStr">
        <is>
          <t>เจ้าหน้าที่จัดซื้อ (purchase)</t>
        </is>
      </c>
      <c r="L382" s="5" t="n"/>
      <c r="M382" s="10" t="inlineStr">
        <is>
          <t>ยังไม่ทดสอบ</t>
        </is>
      </c>
      <c r="N382" s="5" t="n"/>
      <c r="O382" s="18" t="n"/>
      <c r="P382" s="5" t="n"/>
      <c r="Q382" s="5" t="inlineStr">
        <is>
          <t>ca34cc73</t>
        </is>
      </c>
    </row>
    <row r="383" ht="47.5" customHeight="1">
      <c r="A383" s="10" t="inlineStr">
        <is>
          <t>UAT-PUR-019</t>
        </is>
      </c>
      <c r="B383" s="5" t="inlineStr">
        <is>
          <t>จัดซื้อ PR/PO &amp; สัญญา</t>
        </is>
      </c>
      <c r="C383" s="5" t="inlineStr">
        <is>
          <t>จัดซื้อ PR/PO &amp; สัญญา</t>
        </is>
      </c>
      <c r="D383" s="5" t="inlineStr">
        <is>
          <t>ค้นหาด้วยคำค้นที่มีอยู่จริง (จัดซื้อ PR/PO &amp; สัญญา)</t>
        </is>
      </c>
      <c r="E383" s="10" t="inlineStr">
        <is>
          <t>Functional</t>
        </is>
      </c>
      <c r="F383" s="5" t="inlineStr">
        <is>
          <t>เข้าสู่ระบบแล้ว และอยู่ที่หน้าจัดซื้อ PR/PO &amp; สัญญา</t>
        </is>
      </c>
      <c r="G383" s="5" t="inlineStr">
        <is>
          <t>1. พิมพ์คำค้นในช่อง "ค้นหาเลขที่ / วัตถุประสงค์"
2. ตรวจรายการที่แสดง
3. ล้างคำค้น</t>
        </is>
      </c>
      <c r="H383" s="5" t="inlineStr">
        <is>
          <t>คำค้น: ESET</t>
        </is>
      </c>
      <c r="I383" s="5" t="inlineStr">
        <is>
          <t>แสดงเฉพาะรายการที่ตรงกับคำค้น (PR-2569-0003 ต่ออายุไลเซนส์ ESET); เมื่อล้างคำค้นรายการกลับมาครบ</t>
        </is>
      </c>
      <c r="J383" s="10" t="inlineStr">
        <is>
          <t>Medium</t>
        </is>
      </c>
      <c r="K383" s="5" t="inlineStr">
        <is>
          <t>เจ้าหน้าที่จัดซื้อ (purchase)</t>
        </is>
      </c>
      <c r="L383" s="5" t="n"/>
      <c r="M383" s="10" t="inlineStr">
        <is>
          <t>ยังไม่ทดสอบ</t>
        </is>
      </c>
      <c r="N383" s="5" t="n"/>
      <c r="O383" s="18" t="n"/>
      <c r="P383" s="5" t="n"/>
      <c r="Q383" s="5" t="inlineStr">
        <is>
          <t>ca34cc73</t>
        </is>
      </c>
    </row>
    <row r="384" ht="62" customHeight="1">
      <c r="A384" s="10" t="inlineStr">
        <is>
          <t>UAT-PUR-020</t>
        </is>
      </c>
      <c r="B384" s="5" t="inlineStr">
        <is>
          <t>จัดซื้อ PR/PO &amp; สัญญา</t>
        </is>
      </c>
      <c r="C384" s="5" t="inlineStr">
        <is>
          <t>จัดซื้อ PR/PO &amp; สัญญา</t>
        </is>
      </c>
      <c r="D384" s="5" t="inlineStr">
        <is>
          <t>แสดงผลบนมือถือ 375px (จัดซื้อ PR/PO &amp; สัญญา)</t>
        </is>
      </c>
      <c r="E384" s="10" t="inlineStr">
        <is>
          <t>Responsive</t>
        </is>
      </c>
      <c r="F384" s="5" t="inlineStr">
        <is>
          <t>เข้าสู่ระบบแล้ว; เปิด DevTools โหมดอุปกรณ์ iPhone SE/375×667</t>
        </is>
      </c>
      <c r="G384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384" s="5" t="inlineStr">
        <is>
          <t>ความกว้าง 375px</t>
        </is>
      </c>
      <c r="I384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384" s="10" t="inlineStr">
        <is>
          <t>Medium</t>
        </is>
      </c>
      <c r="K384" s="5" t="inlineStr">
        <is>
          <t>เจ้าหน้าที่จัดซื้อ (purchase)</t>
        </is>
      </c>
      <c r="L384" s="5" t="n"/>
      <c r="M384" s="10" t="inlineStr">
        <is>
          <t>ยังไม่ทดสอบ</t>
        </is>
      </c>
      <c r="N384" s="5" t="n"/>
      <c r="O384" s="18" t="n"/>
      <c r="P384" s="5" t="n"/>
      <c r="Q384" s="5" t="inlineStr">
        <is>
          <t>ca34cc73</t>
        </is>
      </c>
    </row>
    <row r="385" ht="62" customHeight="1">
      <c r="A385" s="10" t="inlineStr">
        <is>
          <t>UAT-PUR-021</t>
        </is>
      </c>
      <c r="B385" s="5" t="inlineStr">
        <is>
          <t>จัดซื้อ PR/PO &amp; สัญญา</t>
        </is>
      </c>
      <c r="C385" s="5" t="inlineStr">
        <is>
          <t>จัดซื้อ PR/PO &amp; สัญญา</t>
        </is>
      </c>
      <c r="D385" s="5" t="inlineStr">
        <is>
          <t>แสดงผลบน Desktop 1920px และความอ่านง่ายธีมมืด (จัดซื้อ PR/PO &amp; สัญญา)</t>
        </is>
      </c>
      <c r="E385" s="10" t="inlineStr">
        <is>
          <t>UI</t>
        </is>
      </c>
      <c r="F385" s="5" t="inlineStr">
        <is>
          <t>เข้าสู่ระบบแล้ว; หน้าจอ 1920×1080</t>
        </is>
      </c>
      <c r="G385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385" s="5" t="inlineStr">
        <is>
          <t>ความกว้าง 1920px</t>
        </is>
      </c>
      <c r="I385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385" s="10" t="inlineStr">
        <is>
          <t>Low</t>
        </is>
      </c>
      <c r="K385" s="5" t="inlineStr">
        <is>
          <t>เจ้าหน้าที่จัดซื้อ (purchase)</t>
        </is>
      </c>
      <c r="L385" s="5" t="n"/>
      <c r="M385" s="10" t="inlineStr">
        <is>
          <t>ยังไม่ทดสอบ</t>
        </is>
      </c>
      <c r="N385" s="5" t="n"/>
      <c r="O385" s="18" t="n"/>
      <c r="P385" s="5" t="n"/>
      <c r="Q385" s="5" t="inlineStr">
        <is>
          <t>ca34cc73</t>
        </is>
      </c>
    </row>
    <row r="386" ht="33" customHeight="1">
      <c r="A386" s="10" t="inlineStr">
        <is>
          <t>UAT-BUD-001</t>
        </is>
      </c>
      <c r="B386" s="5" t="inlineStr">
        <is>
          <t>ต้นทุน &amp; งบประมาณ</t>
        </is>
      </c>
      <c r="C386" s="5" t="inlineStr">
        <is>
          <t>ต้นทุน &amp; งบประมาณ</t>
        </is>
      </c>
      <c r="D386" s="5" t="inlineStr">
        <is>
          <t>KPI งบ OPEX/CAPEX</t>
        </is>
      </c>
      <c r="E386" s="10" t="inlineStr">
        <is>
          <t>UI</t>
        </is>
      </c>
      <c r="F386" s="5" t="inlineStr">
        <is>
          <t>เข้าสู่ระบบแล้ว</t>
        </is>
      </c>
      <c r="G386" s="5" t="inlineStr">
        <is>
          <t>1. เปิดหน้า ต้นทุน &amp; งบประมาณ ปีงบ 2569</t>
        </is>
      </c>
      <c r="H386" s="5" t="inlineStr">
        <is>
          <t>-</t>
        </is>
      </c>
      <c r="I386" s="5" t="inlineStr">
        <is>
          <t>งบ OPEX 4,800,000 / OPEX จริง / คงเหลือ (%); งบ CAPEX 6,000,000 / จริง+ผูกพัน / คงเหลือ (% ใช้แล้ว) ถูกต้อง</t>
        </is>
      </c>
      <c r="J386" s="10" t="inlineStr">
        <is>
          <t>Medium</t>
        </is>
      </c>
      <c r="K386" s="5" t="inlineStr">
        <is>
          <t>บัญชีสินทรัพย์ (account)</t>
        </is>
      </c>
      <c r="L386" s="5" t="n"/>
      <c r="M386" s="10" t="inlineStr">
        <is>
          <t>ยังไม่ทดสอบ</t>
        </is>
      </c>
      <c r="N386" s="5" t="n"/>
      <c r="O386" s="18" t="n"/>
      <c r="P386" s="5" t="n"/>
      <c r="Q386" s="5" t="inlineStr">
        <is>
          <t>24532ac2 + 72307493</t>
        </is>
      </c>
    </row>
    <row r="387" ht="33" customHeight="1">
      <c r="A387" s="10" t="inlineStr">
        <is>
          <t>UAT-BUD-002</t>
        </is>
      </c>
      <c r="B387" s="5" t="inlineStr">
        <is>
          <t>ต้นทุน &amp; งบประมาณ</t>
        </is>
      </c>
      <c r="C387" s="5" t="inlineStr">
        <is>
          <t>ต้นทุน &amp; งบประมาณ</t>
        </is>
      </c>
      <c r="D387" s="5" t="inlineStr">
        <is>
          <t>กราฟ OPEX รายเดือน &amp; สะสมเทียบงบ</t>
        </is>
      </c>
      <c r="E387" s="10" t="inlineStr">
        <is>
          <t>UI</t>
        </is>
      </c>
      <c r="F387" s="5" t="inlineStr">
        <is>
          <t>เข้าสู่ระบบแล้ว</t>
        </is>
      </c>
      <c r="G387" s="5" t="inlineStr">
        <is>
          <t>1. hover กราฟ</t>
        </is>
      </c>
      <c r="H387" s="5" t="inlineStr">
        <is>
          <t>-</t>
        </is>
      </c>
      <c r="I387" s="5" t="inlineStr">
        <is>
          <t>แกนเดือน ต.ค.–ก.ย. (ปีงบประมาณ); มีเส้นงบสะสม 4,800,000; tooltip "รายเดือน/สะสม: ฿…"</t>
        </is>
      </c>
      <c r="J387" s="10" t="inlineStr">
        <is>
          <t>Low</t>
        </is>
      </c>
      <c r="K387" s="5" t="inlineStr">
        <is>
          <t>บัญชีสินทรัพย์ (account)</t>
        </is>
      </c>
      <c r="L387" s="5" t="n"/>
      <c r="M387" s="10" t="inlineStr">
        <is>
          <t>ยังไม่ทดสอบ</t>
        </is>
      </c>
      <c r="N387" s="5" t="n"/>
      <c r="O387" s="18" t="n"/>
      <c r="P387" s="5" t="n"/>
      <c r="Q387" s="5" t="inlineStr">
        <is>
          <t>24532ac2 + 72307493</t>
        </is>
      </c>
    </row>
    <row r="388" ht="33" customHeight="1">
      <c r="A388" s="10" t="inlineStr">
        <is>
          <t>UAT-BUD-003</t>
        </is>
      </c>
      <c r="B388" s="5" t="inlineStr">
        <is>
          <t>ต้นทุน &amp; งบประมาณ</t>
        </is>
      </c>
      <c r="C388" s="5" t="inlineStr">
        <is>
          <t>ต้นทุน &amp; งบประมาณ</t>
        </is>
      </c>
      <c r="D388" s="5" t="inlineStr">
        <is>
          <t>เปลี่ยนปีงบประมาณ</t>
        </is>
      </c>
      <c r="E388" s="10" t="inlineStr">
        <is>
          <t>Functional</t>
        </is>
      </c>
      <c r="F388" s="5" t="inlineStr">
        <is>
          <t>เข้าสู่ระบบแล้ว</t>
        </is>
      </c>
      <c r="G388" s="5" t="inlineStr">
        <is>
          <t>1. เลือก ปีงบ 2568 (ปิดแล้ว)
2. เลือก ปีงบ 2570</t>
        </is>
      </c>
      <c r="H388" s="5" t="inlineStr">
        <is>
          <t>-</t>
        </is>
      </c>
      <c r="I388" s="5" t="inlineStr">
        <is>
          <t>ข้อมูลเปลี่ยนตามปี; ปีปิดแล้วแสดงหมายเหตุ ปิดแล้ว และปิดการแก้ไข</t>
        </is>
      </c>
      <c r="J388" s="10" t="inlineStr">
        <is>
          <t>Medium</t>
        </is>
      </c>
      <c r="K388" s="5" t="inlineStr">
        <is>
          <t>บัญชีสินทรัพย์ (account)</t>
        </is>
      </c>
      <c r="L388" s="5" t="n"/>
      <c r="M388" s="10" t="inlineStr">
        <is>
          <t>ยังไม่ทดสอบ</t>
        </is>
      </c>
      <c r="N388" s="5" t="n"/>
      <c r="O388" s="18" t="n"/>
      <c r="P388" s="5" t="n"/>
      <c r="Q388" s="5" t="inlineStr">
        <is>
          <t>24532ac2 + 72307493</t>
        </is>
      </c>
    </row>
    <row r="389" ht="47.5" customHeight="1">
      <c r="A389" s="10" t="inlineStr">
        <is>
          <t>UAT-BUD-004</t>
        </is>
      </c>
      <c r="B389" s="5" t="inlineStr">
        <is>
          <t>ต้นทุน &amp; งบประมาณ</t>
        </is>
      </c>
      <c r="C389" s="5" t="inlineStr">
        <is>
          <t>ต้นทุน &amp; งบประมาณ</t>
        </is>
      </c>
      <c r="D389" s="5" t="inlineStr">
        <is>
          <t>เพิ่มบรรทัดงบ</t>
        </is>
      </c>
      <c r="E389" s="10" t="inlineStr">
        <is>
          <t>Functional</t>
        </is>
      </c>
      <c r="F389" s="5" t="inlineStr">
        <is>
          <t>มีสิทธิ์ จัดการงบประมาณ; ปีงบ 2569</t>
        </is>
      </c>
      <c r="G389" s="5" t="inlineStr">
        <is>
          <t>1. คลิก "+ เพิ่มงบ"
2. เลือกประเภท ไซต์ ศูนย์ต้นทุน หมวด จำนวนเงิน
3. บันทึก</t>
        </is>
      </c>
      <c r="H389" s="5" t="inlineStr">
        <is>
          <t>OPEX; โรงงาน A; MT-03; อะไหล่; 250,000</t>
        </is>
      </c>
      <c r="I389" s="5" t="inlineStr">
        <is>
          <t>toast "เพิ่มงบ … แล้ว"; บรรทัดใหม่แสดงการใช้ 0%; KPI งบรวมเพิ่ม 250,000</t>
        </is>
      </c>
      <c r="J389" s="10" t="inlineStr">
        <is>
          <t>High</t>
        </is>
      </c>
      <c r="K389" s="5" t="inlineStr">
        <is>
          <t>บัญชีสินทรัพย์ (account)</t>
        </is>
      </c>
      <c r="L389" s="5" t="n"/>
      <c r="M389" s="10" t="inlineStr">
        <is>
          <t>ยังไม่ทดสอบ</t>
        </is>
      </c>
      <c r="N389" s="5" t="n"/>
      <c r="O389" s="18" t="n"/>
      <c r="P389" s="5" t="n"/>
      <c r="Q389" s="5" t="inlineStr">
        <is>
          <t>24532ac2 + 72307493</t>
        </is>
      </c>
    </row>
    <row r="390" ht="18.5" customHeight="1">
      <c r="A390" s="10" t="inlineStr">
        <is>
          <t>UAT-BUD-005</t>
        </is>
      </c>
      <c r="B390" s="5" t="inlineStr">
        <is>
          <t>ต้นทุน &amp; งบประมาณ</t>
        </is>
      </c>
      <c r="C390" s="5" t="inlineStr">
        <is>
          <t>ต้นทุน &amp; งบประมาณ</t>
        </is>
      </c>
      <c r="D390" s="5" t="inlineStr">
        <is>
          <t>เพิ่มงบในปีที่ปิดแล้ว</t>
        </is>
      </c>
      <c r="E390" s="10" t="inlineStr">
        <is>
          <t>Negative</t>
        </is>
      </c>
      <c r="F390" s="5" t="inlineStr">
        <is>
          <t>เลือกปีงบ 2568 (ปิดแล้ว)</t>
        </is>
      </c>
      <c r="G390" s="5" t="inlineStr">
        <is>
          <t>1. คลิก "+ เพิ่มงบ"</t>
        </is>
      </c>
      <c r="H390" s="5" t="inlineStr">
        <is>
          <t>-</t>
        </is>
      </c>
      <c r="I390" s="5" t="inlineStr">
        <is>
          <t>แสดง "ปีงบ 2568 ปิดแล้ว เพิ่มงบไม่ได้"</t>
        </is>
      </c>
      <c r="J390" s="10" t="inlineStr">
        <is>
          <t>High</t>
        </is>
      </c>
      <c r="K390" s="5" t="inlineStr">
        <is>
          <t>บัญชีสินทรัพย์ (account)</t>
        </is>
      </c>
      <c r="L390" s="5" t="n"/>
      <c r="M390" s="10" t="inlineStr">
        <is>
          <t>ยังไม่ทดสอบ</t>
        </is>
      </c>
      <c r="N390" s="5" t="n"/>
      <c r="O390" s="18" t="n"/>
      <c r="P390" s="5" t="n"/>
      <c r="Q390" s="5" t="inlineStr">
        <is>
          <t>24532ac2 + 72307493</t>
        </is>
      </c>
    </row>
    <row r="391" ht="18.5" customHeight="1">
      <c r="A391" s="10" t="inlineStr">
        <is>
          <t>UAT-BUD-006</t>
        </is>
      </c>
      <c r="B391" s="5" t="inlineStr">
        <is>
          <t>ต้นทุน &amp; งบประมาณ</t>
        </is>
      </c>
      <c r="C391" s="5" t="inlineStr">
        <is>
          <t>ต้นทุน &amp; งบประมาณ</t>
        </is>
      </c>
      <c r="D391" s="5" t="inlineStr">
        <is>
          <t>จำนวนเงินว่าง/ติดลบ</t>
        </is>
      </c>
      <c r="E391" s="10" t="inlineStr">
        <is>
          <t>Validation</t>
        </is>
      </c>
      <c r="F391" s="5" t="inlineStr">
        <is>
          <t>เปิดฟอร์มเพิ่มงบ</t>
        </is>
      </c>
      <c r="G391" s="5" t="inlineStr">
        <is>
          <t>1. เว้นว่าง/กรอก −1000</t>
        </is>
      </c>
      <c r="H391" s="5" t="inlineStr">
        <is>
          <t>-</t>
        </is>
      </c>
      <c r="I391" s="5" t="inlineStr">
        <is>
          <t>ไม่บันทึก แจ้งข้อผิดพลาด</t>
        </is>
      </c>
      <c r="J391" s="10" t="inlineStr">
        <is>
          <t>Medium</t>
        </is>
      </c>
      <c r="K391" s="5" t="inlineStr">
        <is>
          <t>บัญชีสินทรัพย์ (account)</t>
        </is>
      </c>
      <c r="L391" s="5" t="n"/>
      <c r="M391" s="10" t="inlineStr">
        <is>
          <t>ยังไม่ทดสอบ</t>
        </is>
      </c>
      <c r="N391" s="5" t="n"/>
      <c r="O391" s="18" t="n"/>
      <c r="P391" s="5" t="n"/>
      <c r="Q391" s="5" t="inlineStr">
        <is>
          <t>24532ac2 + 72307493</t>
        </is>
      </c>
    </row>
    <row r="392" ht="76.5" customHeight="1">
      <c r="A392" s="10" t="inlineStr">
        <is>
          <t>UAT-BUD-007</t>
        </is>
      </c>
      <c r="B392" s="5" t="inlineStr">
        <is>
          <t>ต้นทุน &amp; งบประมาณ</t>
        </is>
      </c>
      <c r="C392" s="5" t="inlineStr">
        <is>
          <t>ต้นทุน &amp; งบประมาณ</t>
        </is>
      </c>
      <c r="D392" s="5" t="inlineStr">
        <is>
          <t>เพิ่มฟิลด์เพิ่มเติม (Custom Field) ในฟอร์มเพิ่มบรรทัดงบ</t>
        </is>
      </c>
      <c r="E392" s="10" t="inlineStr">
        <is>
          <t>Functional</t>
        </is>
      </c>
      <c r="F392" s="5" t="inlineStr">
        <is>
          <t>เข้าสู่ระบบแล้ว; เปิดฟอร์มเพิ่มบรรทัดงบ</t>
        </is>
      </c>
      <c r="G392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392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392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392" s="10" t="inlineStr">
        <is>
          <t>Medium</t>
        </is>
      </c>
      <c r="K392" s="5" t="inlineStr">
        <is>
          <t>บัญชีสินทรัพย์ (account)</t>
        </is>
      </c>
      <c r="L392" s="5" t="n"/>
      <c r="M392" s="10" t="inlineStr">
        <is>
          <t>ยังไม่ทดสอบ</t>
        </is>
      </c>
      <c r="N392" s="5" t="n"/>
      <c r="O392" s="18" t="n"/>
      <c r="P392" s="5" t="n"/>
      <c r="Q392" s="5" t="inlineStr">
        <is>
          <t>24532ac2 + 72307493</t>
        </is>
      </c>
    </row>
    <row r="393" ht="33" customHeight="1">
      <c r="A393" s="10" t="inlineStr">
        <is>
          <t>UAT-BUD-008</t>
        </is>
      </c>
      <c r="B393" s="5" t="inlineStr">
        <is>
          <t>ต้นทุน &amp; งบประมาณ</t>
        </is>
      </c>
      <c r="C393" s="5" t="inlineStr">
        <is>
          <t>ต้นทุน &amp; งบประมาณ</t>
        </is>
      </c>
      <c r="D393" s="5" t="inlineStr">
        <is>
          <t>OPEX จริงมาจากต้นทุน WO</t>
        </is>
      </c>
      <c r="E393" s="10" t="inlineStr">
        <is>
          <t>Functional</t>
        </is>
      </c>
      <c r="F393" s="5" t="inlineStr">
        <is>
          <t>ปิด WO ที่มีค่าแรง 750 + อะไหล่ 370 ศูนย์ต้นทุน MT-01</t>
        </is>
      </c>
      <c r="G393" s="5" t="inlineStr">
        <is>
          <t>1. ปิด WO
2. ตรวจบรรทัดงบ OPEX ซ่อมบำรุง</t>
        </is>
      </c>
      <c r="H393" s="5" t="inlineStr">
        <is>
          <t>-</t>
        </is>
      </c>
      <c r="I393" s="5" t="inlineStr">
        <is>
          <t>ยอดจริงเพิ่ม 1,120 และ % การใช้คำนวณใหม่</t>
        </is>
      </c>
      <c r="J393" s="10" t="inlineStr">
        <is>
          <t>High</t>
        </is>
      </c>
      <c r="K393" s="5" t="inlineStr">
        <is>
          <t>บัญชีสินทรัพย์ (account)</t>
        </is>
      </c>
      <c r="L393" s="5" t="n"/>
      <c r="M393" s="10" t="inlineStr">
        <is>
          <t>ยังไม่ทดสอบ</t>
        </is>
      </c>
      <c r="N393" s="5" t="n"/>
      <c r="O393" s="18" t="n"/>
      <c r="P393" s="5" t="n"/>
      <c r="Q393" s="5" t="inlineStr">
        <is>
          <t>24532ac2 + 72307493</t>
        </is>
      </c>
    </row>
    <row r="394" ht="47.5" customHeight="1">
      <c r="A394" s="10" t="inlineStr">
        <is>
          <t>UAT-BUD-009</t>
        </is>
      </c>
      <c r="B394" s="5" t="inlineStr">
        <is>
          <t>ต้นทุน &amp; งบประมาณ</t>
        </is>
      </c>
      <c r="C394" s="5" t="inlineStr">
        <is>
          <t>ต้นทุน &amp; งบประมาณ</t>
        </is>
      </c>
      <c r="D394" s="5" t="inlineStr">
        <is>
          <t>แท็บแผนลงทุน (Capital plan): ส่งขออนุมัติ/อนุมัติ</t>
        </is>
      </c>
      <c r="E394" s="10" t="inlineStr">
        <is>
          <t>Functional</t>
        </is>
      </c>
      <c r="F394" s="5" t="inlineStr">
        <is>
          <t>มีแผน "ระบบ IoT เฟส 2" สถานะร่าง</t>
        </is>
      </c>
      <c r="G394" s="5" t="inlineStr">
        <is>
          <t>1. คลิกแท็บ แผนลงทุน
2. กด "ส่งขออนุมัติ"
3. ล็อกอินผู้บริหาร กด "อนุมัติ"</t>
        </is>
      </c>
      <c r="H394" s="5" t="inlineStr">
        <is>
          <t>-</t>
        </is>
      </c>
      <c r="I394" s="5" t="inlineStr">
        <is>
          <t>สถานะ ร่าง → รออนุมัติ → อนุมัติ/ผูกพัน; CAPEX ผูกพันเพิ่ม; แสดงระยะคืนทุน</t>
        </is>
      </c>
      <c r="J394" s="10" t="inlineStr">
        <is>
          <t>High</t>
        </is>
      </c>
      <c r="K394" s="5" t="inlineStr">
        <is>
          <t>ผู้บริหาร (exec)</t>
        </is>
      </c>
      <c r="L394" s="5" t="n"/>
      <c r="M394" s="10" t="inlineStr">
        <is>
          <t>ยังไม่ทดสอบ</t>
        </is>
      </c>
      <c r="N394" s="5" t="n"/>
      <c r="O394" s="18" t="n"/>
      <c r="P394" s="5" t="n"/>
      <c r="Q394" s="5" t="inlineStr">
        <is>
          <t>24532ac2 + 72307493</t>
        </is>
      </c>
    </row>
    <row r="395" ht="18.5" customHeight="1">
      <c r="A395" s="10" t="inlineStr">
        <is>
          <t>UAT-BUD-010</t>
        </is>
      </c>
      <c r="B395" s="5" t="inlineStr">
        <is>
          <t>ต้นทุน &amp; งบประมาณ</t>
        </is>
      </c>
      <c r="C395" s="5" t="inlineStr">
        <is>
          <t>ต้นทุน &amp; งบประมาณ</t>
        </is>
      </c>
      <c r="D395" s="5" t="inlineStr">
        <is>
          <t>อนุมัติแผนลงทุนในปีที่ปิดแล้ว</t>
        </is>
      </c>
      <c r="E395" s="10" t="inlineStr">
        <is>
          <t>Negative</t>
        </is>
      </c>
      <c r="F395" s="5" t="inlineStr">
        <is>
          <t>ปีงบ 2568</t>
        </is>
      </c>
      <c r="G395" s="5" t="inlineStr">
        <is>
          <t>1. กดอนุมัติ</t>
        </is>
      </c>
      <c r="H395" s="5" t="inlineStr">
        <is>
          <t>-</t>
        </is>
      </c>
      <c r="I395" s="5" t="inlineStr">
        <is>
          <t>แสดง "ปีงบ 2568 ปิดแล้ว อนุมัติไม่ได้"</t>
        </is>
      </c>
      <c r="J395" s="10" t="inlineStr">
        <is>
          <t>Medium</t>
        </is>
      </c>
      <c r="K395" s="5" t="inlineStr">
        <is>
          <t>ผู้บริหาร (exec)</t>
        </is>
      </c>
      <c r="L395" s="5" t="n"/>
      <c r="M395" s="10" t="inlineStr">
        <is>
          <t>ยังไม่ทดสอบ</t>
        </is>
      </c>
      <c r="N395" s="5" t="n"/>
      <c r="O395" s="18" t="n"/>
      <c r="P395" s="5" t="n"/>
      <c r="Q395" s="5" t="inlineStr">
        <is>
          <t>24532ac2 + 72307493</t>
        </is>
      </c>
    </row>
    <row r="396" ht="18.5" customHeight="1">
      <c r="A396" s="10" t="inlineStr">
        <is>
          <t>UAT-BUD-011</t>
        </is>
      </c>
      <c r="B396" s="5" t="inlineStr">
        <is>
          <t>ต้นทุน &amp; งบประมาณ</t>
        </is>
      </c>
      <c r="C396" s="5" t="inlineStr">
        <is>
          <t>ต้นทุน &amp; งบประมาณ</t>
        </is>
      </c>
      <c r="D396" s="5" t="inlineStr">
        <is>
          <t>ติดตาม PO จากแผนลงทุน</t>
        </is>
      </c>
      <c r="E396" s="10" t="inlineStr">
        <is>
          <t>Functional</t>
        </is>
      </c>
      <c r="F396" s="5" t="inlineStr">
        <is>
          <t>แผนอนุมัติแล้วมี PO</t>
        </is>
      </c>
      <c r="G396" s="5" t="inlineStr">
        <is>
          <t>1. กด "ติดตาม PO"</t>
        </is>
      </c>
      <c r="H396" s="5" t="inlineStr">
        <is>
          <t>-</t>
        </is>
      </c>
      <c r="I396" s="5" t="inlineStr">
        <is>
          <t>แสดง PO-2569-0142 · รอส่งมอบ / ลิงก์ไปหน้า PO</t>
        </is>
      </c>
      <c r="J396" s="10" t="inlineStr">
        <is>
          <t>Low</t>
        </is>
      </c>
      <c r="K396" s="5" t="inlineStr">
        <is>
          <t>บัญชีสินทรัพย์ (account)</t>
        </is>
      </c>
      <c r="L396" s="5" t="n"/>
      <c r="M396" s="10" t="inlineStr">
        <is>
          <t>ยังไม่ทดสอบ</t>
        </is>
      </c>
      <c r="N396" s="5" t="n"/>
      <c r="O396" s="18" t="n"/>
      <c r="P396" s="5" t="n"/>
      <c r="Q396" s="5" t="inlineStr">
        <is>
          <t>24532ac2 + 72307493</t>
        </is>
      </c>
    </row>
    <row r="397" ht="33" customHeight="1">
      <c r="A397" s="10" t="inlineStr">
        <is>
          <t>UAT-BUD-012</t>
        </is>
      </c>
      <c r="B397" s="5" t="inlineStr">
        <is>
          <t>ต้นทุน &amp; งบประมาณ</t>
        </is>
      </c>
      <c r="C397" s="5" t="inlineStr">
        <is>
          <t>ต้นทุน &amp; งบประมาณ</t>
        </is>
      </c>
      <c r="D397" s="5" t="inlineStr">
        <is>
          <t>ส่งออก Excel</t>
        </is>
      </c>
      <c r="E397" s="10" t="inlineStr">
        <is>
          <t>Functional</t>
        </is>
      </c>
      <c r="F397" s="5" t="inlineStr">
        <is>
          <t>เข้าสู่ระบบแล้ว</t>
        </is>
      </c>
      <c r="G397" s="5" t="inlineStr">
        <is>
          <t>1. คลิก "ส่งออก Excel"</t>
        </is>
      </c>
      <c r="H397" s="5" t="inlineStr">
        <is>
          <t>-</t>
        </is>
      </c>
      <c r="I397" s="5" t="inlineStr">
        <is>
          <t>ไฟล์มี ประเภท, ไซต์, ศูนย์ต้นทุน, หมวด, งบ, จริง ภาษาไทยถูกต้อง</t>
        </is>
      </c>
      <c r="J397" s="10" t="inlineStr">
        <is>
          <t>Low</t>
        </is>
      </c>
      <c r="K397" s="5" t="inlineStr">
        <is>
          <t>บัญชีสินทรัพย์ (account)</t>
        </is>
      </c>
      <c r="L397" s="5" t="n"/>
      <c r="M397" s="10" t="inlineStr">
        <is>
          <t>ยังไม่ทดสอบ</t>
        </is>
      </c>
      <c r="N397" s="5" t="n"/>
      <c r="O397" s="18" t="n"/>
      <c r="P397" s="5" t="n"/>
      <c r="Q397" s="5" t="inlineStr">
        <is>
          <t>24532ac2 + 72307493</t>
        </is>
      </c>
    </row>
    <row r="398" ht="18.5" customHeight="1">
      <c r="A398" s="10" t="inlineStr">
        <is>
          <t>UAT-BUD-013</t>
        </is>
      </c>
      <c r="B398" s="5" t="inlineStr">
        <is>
          <t>ต้นทุน &amp; งบประมาณ</t>
        </is>
      </c>
      <c r="C398" s="5" t="inlineStr">
        <is>
          <t>ต้นทุน &amp; งบประมาณ</t>
        </is>
      </c>
      <c r="D398" s="5" t="inlineStr">
        <is>
          <t>แจ้งเตือนใช้งบเกินเกณฑ์</t>
        </is>
      </c>
      <c r="E398" s="10" t="inlineStr">
        <is>
          <t>Functional</t>
        </is>
      </c>
      <c r="F398" s="5" t="inlineStr">
        <is>
          <t>บรรทัดงบใช้ ≥ 80%</t>
        </is>
      </c>
      <c r="G398" s="5" t="inlineStr">
        <is>
          <t>1. รัน cron budget_alert 08:15</t>
        </is>
      </c>
      <c r="H398" s="5" t="inlineStr">
        <is>
          <t>-</t>
        </is>
      </c>
      <c r="I398" s="5" t="inlineStr">
        <is>
          <t>ผู้รับผิดชอบได้รับแจ้งเตือน; progress เปลี่ยนเป็นสีเตือน</t>
        </is>
      </c>
      <c r="J398" s="10" t="inlineStr">
        <is>
          <t>Medium</t>
        </is>
      </c>
      <c r="K398" s="5" t="inlineStr">
        <is>
          <t>บัญชีสินทรัพย์ (account)</t>
        </is>
      </c>
      <c r="L398" s="5" t="n"/>
      <c r="M398" s="10" t="inlineStr">
        <is>
          <t>ยังไม่ทดสอบ</t>
        </is>
      </c>
      <c r="N398" s="5" t="n"/>
      <c r="O398" s="18" t="n"/>
      <c r="P398" s="5" t="n"/>
      <c r="Q398" s="5" t="inlineStr">
        <is>
          <t>24532ac2 + 72307493</t>
        </is>
      </c>
    </row>
    <row r="399" ht="18.5" customHeight="1">
      <c r="A399" s="10" t="inlineStr">
        <is>
          <t>UAT-BUD-014</t>
        </is>
      </c>
      <c r="B399" s="5" t="inlineStr">
        <is>
          <t>ต้นทุน &amp; งบประมาณ</t>
        </is>
      </c>
      <c r="C399" s="5" t="inlineStr">
        <is>
          <t>ต้นทุน &amp; งบประมาณ</t>
        </is>
      </c>
      <c r="D399" s="5" t="inlineStr">
        <is>
          <t>ช่างไม่มีสิทธิ์ดูงบประมาณ</t>
        </is>
      </c>
      <c r="E399" s="10" t="inlineStr">
        <is>
          <t>Permission</t>
        </is>
      </c>
      <c r="F399" s="5" t="inlineStr">
        <is>
          <t>ล็อกอินเป็นช่าง</t>
        </is>
      </c>
      <c r="G399" s="5" t="inlineStr">
        <is>
          <t>1. เปิด URL งบประมาณ</t>
        </is>
      </c>
      <c r="H399" s="5" t="inlineStr">
        <is>
          <t>-</t>
        </is>
      </c>
      <c r="I399" s="5" t="inlineStr">
        <is>
          <t>ถูกปฏิเสธ/ไม่เห็นเมนู</t>
        </is>
      </c>
      <c r="J399" s="10" t="inlineStr">
        <is>
          <t>Medium</t>
        </is>
      </c>
      <c r="K399" s="5" t="inlineStr">
        <is>
          <t>ช่างซ่อมบำรุง (somchai)</t>
        </is>
      </c>
      <c r="L399" s="5" t="n"/>
      <c r="M399" s="10" t="inlineStr">
        <is>
          <t>ยังไม่ทดสอบ</t>
        </is>
      </c>
      <c r="N399" s="5" t="n"/>
      <c r="O399" s="18" t="n"/>
      <c r="P399" s="5" t="n"/>
      <c r="Q399" s="5" t="inlineStr">
        <is>
          <t>24532ac2 + 72307493</t>
        </is>
      </c>
    </row>
    <row r="400" ht="33" customHeight="1">
      <c r="A400" s="10" t="inlineStr">
        <is>
          <t>UAT-BUD-015</t>
        </is>
      </c>
      <c r="B400" s="5" t="inlineStr">
        <is>
          <t>ต้นทุน &amp; งบประมาณ</t>
        </is>
      </c>
      <c r="C400" s="5" t="inlineStr">
        <is>
          <t>ต้นทุน &amp; งบประมาณ</t>
        </is>
      </c>
      <c r="D400" s="5" t="inlineStr">
        <is>
          <t>ความสอดคล้องระหว่าง mockup 2 เวอร์ชัน</t>
        </is>
      </c>
      <c r="E400" s="10" t="inlineStr">
        <is>
          <t>UI</t>
        </is>
      </c>
      <c r="F400" s="5" t="inlineStr">
        <is>
          <t>-</t>
        </is>
      </c>
      <c r="G400" s="5" t="inlineStr">
        <is>
          <t>1. เปรียบเทียบหน้าจอ 24532ac2 และ 72307493</t>
        </is>
      </c>
      <c r="H400" s="5" t="inlineStr">
        <is>
          <t>-</t>
        </is>
      </c>
      <c r="I400" s="5" t="inlineStr">
        <is>
          <t>แท็บ/ปุ่ม/ฟอร์มเพิ่มงบเป็นชุดเดียวกัน (ภาพรวมงบ, แผนลงทุน (Capital plan), Excel)</t>
        </is>
      </c>
      <c r="J400" s="10" t="inlineStr">
        <is>
          <t>Low</t>
        </is>
      </c>
      <c r="K400" s="5" t="inlineStr">
        <is>
          <t>ผู้ดูแลระบบสูงสุด (admin)</t>
        </is>
      </c>
      <c r="L400" s="5" t="n"/>
      <c r="M400" s="10" t="inlineStr">
        <is>
          <t>ยังไม่ทดสอบ</t>
        </is>
      </c>
      <c r="N400" s="5" t="n"/>
      <c r="O400" s="18" t="n"/>
      <c r="P400" s="5" t="inlineStr">
        <is>
          <t>ทั้งสองเวอร์ชันใช้ชื่อไซต์ตัวอย่าง (โรงงาน A/B, สำนักงานใหญ่) ต่างจากข้อมูลหลัก</t>
        </is>
      </c>
      <c r="Q400" s="5" t="inlineStr">
        <is>
          <t>24532ac2 + 72307493</t>
        </is>
      </c>
    </row>
    <row r="401" ht="47.5" customHeight="1">
      <c r="A401" s="10" t="inlineStr">
        <is>
          <t>UAT-BUD-016</t>
        </is>
      </c>
      <c r="B401" s="5" t="inlineStr">
        <is>
          <t>ต้นทุน &amp; งบประมาณ</t>
        </is>
      </c>
      <c r="C401" s="5" t="inlineStr">
        <is>
          <t>ต้นทุน &amp; งบประมาณ</t>
        </is>
      </c>
      <c r="D401" s="5" t="inlineStr">
        <is>
          <t>ค้นหาไม่พบข้อมูล (ต้นทุน &amp; งบประมาณ)</t>
        </is>
      </c>
      <c r="E401" s="10" t="inlineStr">
        <is>
          <t>Negative</t>
        </is>
      </c>
      <c r="F401" s="5" t="inlineStr">
        <is>
          <t>เข้าสู่ระบบแล้ว และอยู่ที่หน้าต้นทุน &amp; งบประมาณ</t>
        </is>
      </c>
      <c r="G401" s="5" t="inlineStr">
        <is>
          <t>1. พิมพ์คำค้นที่ไม่มีอยู่จริงในช่อง "ค้นหา งบประมาณ / ศูนย์ต้นทุน / ใบสั่งงาน…"
2. สังเกตตาราง/รายการ</t>
        </is>
      </c>
      <c r="H401" s="5" t="inlineStr">
        <is>
          <t>คำค้น: ZZZ-NOTFOUND-999</t>
        </is>
      </c>
      <c r="I40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401" s="10" t="inlineStr">
        <is>
          <t>Low</t>
        </is>
      </c>
      <c r="K401" s="5" t="inlineStr">
        <is>
          <t>บัญชีสินทรัพย์ (account)</t>
        </is>
      </c>
      <c r="L401" s="5" t="n"/>
      <c r="M401" s="10" t="inlineStr">
        <is>
          <t>ยังไม่ทดสอบ</t>
        </is>
      </c>
      <c r="N401" s="5" t="n"/>
      <c r="O401" s="18" t="n"/>
      <c r="P401" s="5" t="n"/>
      <c r="Q401" s="5" t="inlineStr">
        <is>
          <t>24532ac2 + 72307493</t>
        </is>
      </c>
    </row>
    <row r="402" ht="47.5" customHeight="1">
      <c r="A402" s="10" t="inlineStr">
        <is>
          <t>UAT-BUD-017</t>
        </is>
      </c>
      <c r="B402" s="5" t="inlineStr">
        <is>
          <t>ต้นทุน &amp; งบประมาณ</t>
        </is>
      </c>
      <c r="C402" s="5" t="inlineStr">
        <is>
          <t>ต้นทุน &amp; งบประมาณ</t>
        </is>
      </c>
      <c r="D402" s="5" t="inlineStr">
        <is>
          <t>ค้นหาด้วยคำค้นที่มีอยู่จริง (ต้นทุน &amp; งบประมาณ)</t>
        </is>
      </c>
      <c r="E402" s="10" t="inlineStr">
        <is>
          <t>Functional</t>
        </is>
      </c>
      <c r="F402" s="5" t="inlineStr">
        <is>
          <t>เข้าสู่ระบบแล้ว และอยู่ที่หน้าต้นทุน &amp; งบประมาณ</t>
        </is>
      </c>
      <c r="G402" s="5" t="inlineStr">
        <is>
          <t>1. พิมพ์คำค้นในช่อง "ค้นหา งบประมาณ / ศูนย์ต้นทุน / ใบสั่งงาน…"
2. ตรวจรายการที่แสดง
3. ล้างคำค้น</t>
        </is>
      </c>
      <c r="H402" s="5" t="inlineStr">
        <is>
          <t>คำค้น: MT-01</t>
        </is>
      </c>
      <c r="I402" s="5" t="inlineStr">
        <is>
          <t>แสดงเฉพาะรายการที่ตรงกับคำค้น (บรรทัดงบศูนย์ต้นทุน MT-01); เมื่อล้างคำค้นรายการกลับมาครบ</t>
        </is>
      </c>
      <c r="J402" s="10" t="inlineStr">
        <is>
          <t>Medium</t>
        </is>
      </c>
      <c r="K402" s="5" t="inlineStr">
        <is>
          <t>บัญชีสินทรัพย์ (account)</t>
        </is>
      </c>
      <c r="L402" s="5" t="n"/>
      <c r="M402" s="10" t="inlineStr">
        <is>
          <t>ยังไม่ทดสอบ</t>
        </is>
      </c>
      <c r="N402" s="5" t="n"/>
      <c r="O402" s="18" t="n"/>
      <c r="P402" s="5" t="n"/>
      <c r="Q402" s="5" t="inlineStr">
        <is>
          <t>24532ac2 + 72307493</t>
        </is>
      </c>
    </row>
    <row r="403" ht="62" customHeight="1">
      <c r="A403" s="10" t="inlineStr">
        <is>
          <t>UAT-BUD-018</t>
        </is>
      </c>
      <c r="B403" s="5" t="inlineStr">
        <is>
          <t>ต้นทุน &amp; งบประมาณ</t>
        </is>
      </c>
      <c r="C403" s="5" t="inlineStr">
        <is>
          <t>ต้นทุน &amp; งบประมาณ</t>
        </is>
      </c>
      <c r="D403" s="5" t="inlineStr">
        <is>
          <t>แสดงผลบนมือถือ 375px (ต้นทุน &amp; งบประมาณ)</t>
        </is>
      </c>
      <c r="E403" s="10" t="inlineStr">
        <is>
          <t>Responsive</t>
        </is>
      </c>
      <c r="F403" s="5" t="inlineStr">
        <is>
          <t>เข้าสู่ระบบแล้ว; เปิด DevTools โหมดอุปกรณ์ iPhone SE/375×667</t>
        </is>
      </c>
      <c r="G40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03" s="5" t="inlineStr">
        <is>
          <t>ความกว้าง 375px</t>
        </is>
      </c>
      <c r="I40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03" s="10" t="inlineStr">
        <is>
          <t>Medium</t>
        </is>
      </c>
      <c r="K403" s="5" t="inlineStr">
        <is>
          <t>บัญชีสินทรัพย์ (account)</t>
        </is>
      </c>
      <c r="L403" s="5" t="n"/>
      <c r="M403" s="10" t="inlineStr">
        <is>
          <t>ยังไม่ทดสอบ</t>
        </is>
      </c>
      <c r="N403" s="5" t="n"/>
      <c r="O403" s="18" t="n"/>
      <c r="P403" s="5" t="n"/>
      <c r="Q403" s="5" t="inlineStr">
        <is>
          <t>24532ac2 + 72307493</t>
        </is>
      </c>
    </row>
    <row r="404" ht="62" customHeight="1">
      <c r="A404" s="10" t="inlineStr">
        <is>
          <t>UAT-BUD-019</t>
        </is>
      </c>
      <c r="B404" s="5" t="inlineStr">
        <is>
          <t>ต้นทุน &amp; งบประมาณ</t>
        </is>
      </c>
      <c r="C404" s="5" t="inlineStr">
        <is>
          <t>ต้นทุน &amp; งบประมาณ</t>
        </is>
      </c>
      <c r="D404" s="5" t="inlineStr">
        <is>
          <t>แสดงผลบน Desktop 1920px และความอ่านง่ายธีมมืด (ต้นทุน &amp; งบประมาณ)</t>
        </is>
      </c>
      <c r="E404" s="10" t="inlineStr">
        <is>
          <t>UI</t>
        </is>
      </c>
      <c r="F404" s="5" t="inlineStr">
        <is>
          <t>เข้าสู่ระบบแล้ว; หน้าจอ 1920×1080</t>
        </is>
      </c>
      <c r="G40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04" s="5" t="inlineStr">
        <is>
          <t>ความกว้าง 1920px</t>
        </is>
      </c>
      <c r="I40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04" s="10" t="inlineStr">
        <is>
          <t>Low</t>
        </is>
      </c>
      <c r="K404" s="5" t="inlineStr">
        <is>
          <t>บัญชีสินทรัพย์ (account)</t>
        </is>
      </c>
      <c r="L404" s="5" t="n"/>
      <c r="M404" s="10" t="inlineStr">
        <is>
          <t>ยังไม่ทดสอบ</t>
        </is>
      </c>
      <c r="N404" s="5" t="n"/>
      <c r="O404" s="18" t="n"/>
      <c r="P404" s="5" t="n"/>
      <c r="Q404" s="5" t="inlineStr">
        <is>
          <t>24532ac2 + 72307493</t>
        </is>
      </c>
    </row>
    <row r="405" ht="33" customHeight="1">
      <c r="A405" s="10" t="inlineStr">
        <is>
          <t>UAT-RCA-001</t>
        </is>
      </c>
      <c r="B405" s="5" t="inlineStr">
        <is>
          <t>RCA / FMEA / CAPA</t>
        </is>
      </c>
      <c r="C405" s="5" t="inlineStr">
        <is>
          <t>RCA / FMEA / CAPA</t>
        </is>
      </c>
      <c r="D405" s="5" t="inlineStr">
        <is>
          <t>KPI และแท็บ RCA/CAPA/FMEA</t>
        </is>
      </c>
      <c r="E405" s="10" t="inlineStr">
        <is>
          <t>UI</t>
        </is>
      </c>
      <c r="F405" s="5" t="inlineStr">
        <is>
          <t>เข้าสู่ระบบแล้ว</t>
        </is>
      </c>
      <c r="G405" s="5" t="inlineStr">
        <is>
          <t>1. เปิดหน้า RCA/FMEA
2. สลับแท็บ RCA, CAPA, FMEA</t>
        </is>
      </c>
      <c r="H405" s="5" t="inlineStr">
        <is>
          <t>-</t>
        </is>
      </c>
      <c r="I405" s="5" t="inlineStr">
        <is>
          <t>KPI RCA ที่เปิดอยู่, CAPA เกินกำหนด, รอตรวจประสิทธิผล ฯลฯ คงที่ทุกแท็บ; เนื้อหาเปลี่ยนตามแท็บ</t>
        </is>
      </c>
      <c r="J405" s="10" t="inlineStr">
        <is>
          <t>Medium</t>
        </is>
      </c>
      <c r="K405" s="5" t="inlineStr">
        <is>
          <t>ผู้จัดการซ่อมบำรุง (maint.mgr)</t>
        </is>
      </c>
      <c r="L405" s="5" t="n"/>
      <c r="M405" s="10" t="inlineStr">
        <is>
          <t>ยังไม่ทดสอบ</t>
        </is>
      </c>
      <c r="N405" s="5" t="n"/>
      <c r="O405" s="18" t="n"/>
      <c r="P405" s="5" t="n"/>
      <c r="Q405" s="5" t="inlineStr">
        <is>
          <t>0bbcc4ce</t>
        </is>
      </c>
    </row>
    <row r="406" ht="62" customHeight="1">
      <c r="A406" s="10" t="inlineStr">
        <is>
          <t>UAT-RCA-002</t>
        </is>
      </c>
      <c r="B406" s="5" t="inlineStr">
        <is>
          <t>RCA / FMEA / CAPA</t>
        </is>
      </c>
      <c r="C406" s="5" t="inlineStr">
        <is>
          <t>RCA / FMEA / CAPA</t>
        </is>
      </c>
      <c r="D406" s="5" t="inlineStr">
        <is>
          <t>เปิดเรื่อง RCA (Happy path)</t>
        </is>
      </c>
      <c r="E406" s="10" t="inlineStr">
        <is>
          <t>Functional</t>
        </is>
      </c>
      <c r="F406" s="5" t="inlineStr">
        <is>
          <t>มีสิทธิ์ จัดการ RCA/FMEA/CAPA</t>
        </is>
      </c>
      <c r="G406" s="5" t="inlineStr">
        <is>
          <t>1. คลิก "+ เปิดเรื่อง RCA"
2. กรอกหัวข้อปัญหา เลข WO ต้นเหตุ/Asset วิธีวิเคราะห์ ผู้รับผิดชอบ คำอธิบาย (What/Where/When/How much)
3. กด "เปิดเรื่อง"</t>
        </is>
      </c>
      <c r="H406" s="5" t="inlineStr">
        <is>
          <t>MTR-007 ฉนวนเสื่อมก่อนกำหนด; WO-2569-0005 · MTR-007; 5 Why + ก้างปลา; ประเสริฐ ช่างใหญ่</t>
        </is>
      </c>
      <c r="I406" s="5" t="inlineStr">
        <is>
          <t>toast "เปิดเรื่อง RCA-2569-0002 แล้ว"; แถวใหม่สถานะ เปิดเรื่อง วันที่ "วันนี้"; KPI RCA ที่เปิดอยู่ +1</t>
        </is>
      </c>
      <c r="J406" s="10" t="inlineStr">
        <is>
          <t>High</t>
        </is>
      </c>
      <c r="K406" s="5" t="inlineStr">
        <is>
          <t>ผู้จัดการซ่อมบำรุง (maint.mgr)</t>
        </is>
      </c>
      <c r="L406" s="5" t="n"/>
      <c r="M406" s="10" t="inlineStr">
        <is>
          <t>ยังไม่ทดสอบ</t>
        </is>
      </c>
      <c r="N406" s="5" t="n"/>
      <c r="O406" s="18" t="n"/>
      <c r="P406" s="5" t="n"/>
      <c r="Q406" s="5" t="inlineStr">
        <is>
          <t>0bbcc4ce</t>
        </is>
      </c>
    </row>
    <row r="407" ht="33" customHeight="1">
      <c r="A407" s="10" t="inlineStr">
        <is>
          <t>UAT-RCA-003</t>
        </is>
      </c>
      <c r="B407" s="5" t="inlineStr">
        <is>
          <t>RCA / FMEA / CAPA</t>
        </is>
      </c>
      <c r="C407" s="5" t="inlineStr">
        <is>
          <t>RCA / FMEA / CAPA</t>
        </is>
      </c>
      <c r="D407" s="5" t="inlineStr">
        <is>
          <t>เปิดเรื่อง RCA ไม่กรอกหัวข้อ</t>
        </is>
      </c>
      <c r="E407" s="10" t="inlineStr">
        <is>
          <t>Validation</t>
        </is>
      </c>
      <c r="F407" s="5" t="inlineStr">
        <is>
          <t>เปิดฟอร์ม RCA</t>
        </is>
      </c>
      <c r="G407" s="5" t="inlineStr">
        <is>
          <t>1. เว้นว่างหัวข้อปัญหา
2. เปิดเรื่อง</t>
        </is>
      </c>
      <c r="H407" s="5" t="inlineStr">
        <is>
          <t>-</t>
        </is>
      </c>
      <c r="I407" s="5" t="inlineStr">
        <is>
          <t>ไม่บันทึก แจ้งฟิลด์บังคับ</t>
        </is>
      </c>
      <c r="J407" s="10" t="inlineStr">
        <is>
          <t>High</t>
        </is>
      </c>
      <c r="K407" s="5" t="inlineStr">
        <is>
          <t>ผู้จัดการซ่อมบำรุง (maint.mgr)</t>
        </is>
      </c>
      <c r="L407" s="5" t="n"/>
      <c r="M407" s="10" t="inlineStr">
        <is>
          <t>ยังไม่ทดสอบ</t>
        </is>
      </c>
      <c r="N407" s="5" t="n"/>
      <c r="O407" s="18" t="n"/>
      <c r="P407" s="5" t="n"/>
      <c r="Q407" s="5" t="inlineStr">
        <is>
          <t>0bbcc4ce</t>
        </is>
      </c>
    </row>
    <row r="408" ht="76.5" customHeight="1">
      <c r="A408" s="10" t="inlineStr">
        <is>
          <t>UAT-RCA-004</t>
        </is>
      </c>
      <c r="B408" s="5" t="inlineStr">
        <is>
          <t>RCA / FMEA / CAPA</t>
        </is>
      </c>
      <c r="C408" s="5" t="inlineStr">
        <is>
          <t>RCA / FMEA / CAPA</t>
        </is>
      </c>
      <c r="D408" s="5" t="inlineStr">
        <is>
          <t>เพิ่มฟิลด์เพิ่มเติม (Custom Field) ในฟอร์มเปิดเรื่อง RCA</t>
        </is>
      </c>
      <c r="E408" s="10" t="inlineStr">
        <is>
          <t>Functional</t>
        </is>
      </c>
      <c r="F408" s="5" t="inlineStr">
        <is>
          <t>เข้าสู่ระบบแล้ว; เปิดฟอร์มเปิดเรื่อง RCA</t>
        </is>
      </c>
      <c r="G408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408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408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408" s="10" t="inlineStr">
        <is>
          <t>Medium</t>
        </is>
      </c>
      <c r="K408" s="5" t="inlineStr">
        <is>
          <t>ผู้จัดการซ่อมบำรุง (maint.mgr)</t>
        </is>
      </c>
      <c r="L408" s="5" t="n"/>
      <c r="M408" s="10" t="inlineStr">
        <is>
          <t>ยังไม่ทดสอบ</t>
        </is>
      </c>
      <c r="N408" s="5" t="n"/>
      <c r="O408" s="18" t="n"/>
      <c r="P408" s="5" t="n"/>
      <c r="Q408" s="5" t="inlineStr">
        <is>
          <t>0bbcc4ce</t>
        </is>
      </c>
    </row>
    <row r="409" ht="33" customHeight="1">
      <c r="A409" s="10" t="inlineStr">
        <is>
          <t>UAT-RCA-005</t>
        </is>
      </c>
      <c r="B409" s="5" t="inlineStr">
        <is>
          <t>RCA / FMEA / CAPA</t>
        </is>
      </c>
      <c r="C409" s="5" t="inlineStr">
        <is>
          <t>RCA / FMEA / CAPA</t>
        </is>
      </c>
      <c r="D409" s="5" t="inlineStr">
        <is>
          <t>บันทึกการวิเคราะห์ 5 Why</t>
        </is>
      </c>
      <c r="E409" s="10" t="inlineStr">
        <is>
          <t>Functional</t>
        </is>
      </c>
      <c r="F409" s="5" t="inlineStr">
        <is>
          <t>เปิด drawer RCA-2569-0001</t>
        </is>
      </c>
      <c r="G409" s="5" t="inlineStr">
        <is>
          <t>1. กรอก ทำไม 1–5
2. กด "บันทึกการวิเคราะห์"</t>
        </is>
      </c>
      <c r="H409" s="5" t="inlineStr">
        <is>
          <t>-</t>
        </is>
      </c>
      <c r="I409" s="5" t="inlineStr">
        <is>
          <t>toast "บันทึกการวิเคราะห์ 5 Why แล้ว"; สถานะเป็น กำลังวิเคราะห์</t>
        </is>
      </c>
      <c r="J409" s="10" t="inlineStr">
        <is>
          <t>Medium</t>
        </is>
      </c>
      <c r="K409" s="5" t="inlineStr">
        <is>
          <t>ผู้จัดการซ่อมบำรุง (maint.mgr)</t>
        </is>
      </c>
      <c r="L409" s="5" t="n"/>
      <c r="M409" s="10" t="inlineStr">
        <is>
          <t>ยังไม่ทดสอบ</t>
        </is>
      </c>
      <c r="N409" s="5" t="n"/>
      <c r="O409" s="18" t="n"/>
      <c r="P409" s="5" t="n"/>
      <c r="Q409" s="5" t="inlineStr">
        <is>
          <t>0bbcc4ce</t>
        </is>
      </c>
    </row>
    <row r="410" ht="33" customHeight="1">
      <c r="A410" s="10" t="inlineStr">
        <is>
          <t>UAT-RCA-006</t>
        </is>
      </c>
      <c r="B410" s="5" t="inlineStr">
        <is>
          <t>RCA / FMEA / CAPA</t>
        </is>
      </c>
      <c r="C410" s="5" t="inlineStr">
        <is>
          <t>RCA / FMEA / CAPA</t>
        </is>
      </c>
      <c r="D410" s="5" t="inlineStr">
        <is>
          <t>แผนภาพก้างปลา 6M</t>
        </is>
      </c>
      <c r="E410" s="10" t="inlineStr">
        <is>
          <t>UI</t>
        </is>
      </c>
      <c r="F410" s="5" t="inlineStr">
        <is>
          <t>เปิด drawer RCA</t>
        </is>
      </c>
      <c r="G410" s="5" t="inlineStr">
        <is>
          <t>1. ตรวจแผนภาพก้างปลา</t>
        </is>
      </c>
      <c r="H410" s="5" t="inlineStr">
        <is>
          <t>-</t>
        </is>
      </c>
      <c r="I410" s="5" t="inlineStr">
        <is>
          <t>แสดง 6 กลุ่มสาเหตุ (Man/Machine/Method/Material/Measurement/Environment) ข้อความภาษาไทยไม่ถูกตัด/ไม่ทับกัน</t>
        </is>
      </c>
      <c r="J410" s="10" t="inlineStr">
        <is>
          <t>Medium</t>
        </is>
      </c>
      <c r="K410" s="5" t="inlineStr">
        <is>
          <t>ผู้จัดการซ่อมบำรุง (maint.mgr)</t>
        </is>
      </c>
      <c r="L410" s="5" t="n"/>
      <c r="M410" s="10" t="inlineStr">
        <is>
          <t>ยังไม่ทดสอบ</t>
        </is>
      </c>
      <c r="N410" s="5" t="n"/>
      <c r="O410" s="18" t="n"/>
      <c r="P410" s="5" t="n"/>
      <c r="Q410" s="5" t="inlineStr">
        <is>
          <t>0bbcc4ce</t>
        </is>
      </c>
    </row>
    <row r="411" ht="33" customHeight="1">
      <c r="A411" s="10" t="inlineStr">
        <is>
          <t>UAT-RCA-007</t>
        </is>
      </c>
      <c r="B411" s="5" t="inlineStr">
        <is>
          <t>RCA / FMEA / CAPA</t>
        </is>
      </c>
      <c r="C411" s="5" t="inlineStr">
        <is>
          <t>RCA / FMEA / CAPA</t>
        </is>
      </c>
      <c r="D411" s="5" t="inlineStr">
        <is>
          <t>แท็บ CAPA: กรองด้วย chip</t>
        </is>
      </c>
      <c r="E411" s="10" t="inlineStr">
        <is>
          <t>Functional</t>
        </is>
      </c>
      <c r="F411" s="5" t="inlineStr">
        <is>
          <t>เข้าสู่ระบบแล้ว</t>
        </is>
      </c>
      <c r="G411" s="5" t="inlineStr">
        <is>
          <t>1. คลิก ทั้งหมด / ของฉัน / เกินกำหนด / รอตรวจ</t>
        </is>
      </c>
      <c r="H411" s="5" t="inlineStr">
        <is>
          <t>-</t>
        </is>
      </c>
      <c r="I411" s="5" t="inlineStr">
        <is>
          <t>แสดงตาม chip; ไม่มีรายการแสดง "ไม่มีรายการ CAPA ในมุมมองนี้"</t>
        </is>
      </c>
      <c r="J411" s="10" t="inlineStr">
        <is>
          <t>Medium</t>
        </is>
      </c>
      <c r="K411" s="5" t="inlineStr">
        <is>
          <t>ผู้จัดการซ่อมบำรุง (maint.mgr)</t>
        </is>
      </c>
      <c r="L411" s="5" t="n"/>
      <c r="M411" s="10" t="inlineStr">
        <is>
          <t>ยังไม่ทดสอบ</t>
        </is>
      </c>
      <c r="N411" s="5" t="n"/>
      <c r="O411" s="18" t="n"/>
      <c r="P411" s="5" t="n"/>
      <c r="Q411" s="5" t="inlineStr">
        <is>
          <t>0bbcc4ce</t>
        </is>
      </c>
    </row>
    <row r="412" ht="47.5" customHeight="1">
      <c r="A412" s="10" t="inlineStr">
        <is>
          <t>UAT-RCA-008</t>
        </is>
      </c>
      <c r="B412" s="5" t="inlineStr">
        <is>
          <t>RCA / FMEA / CAPA</t>
        </is>
      </c>
      <c r="C412" s="5" t="inlineStr">
        <is>
          <t>RCA / FMEA / CAPA</t>
        </is>
      </c>
      <c r="D412" s="5" t="inlineStr">
        <is>
          <t>ปิด CAPA → ตรวจประสิทธิผล ผ่าน</t>
        </is>
      </c>
      <c r="E412" s="10" t="inlineStr">
        <is>
          <t>Functional</t>
        </is>
      </c>
      <c r="F412" s="5" t="inlineStr">
        <is>
          <t>CAPA สถานะ กำลังดำเนินการ</t>
        </is>
      </c>
      <c r="G412" s="5" t="inlineStr">
        <is>
          <t>1. ผู้รับผิดชอบกด "สำเร็จแล้ว"
2. ผู้ตรวจกด "ผ่าน"</t>
        </is>
      </c>
      <c r="H412" s="5" t="inlineStr">
        <is>
          <t>-</t>
        </is>
      </c>
      <c r="I412" s="5" t="inlineStr">
        <is>
          <t>toast "ส่งตรวจประสิทธิผลแล้ว" → "CAPA ผ่านการตรวจ ปิดเรื่องแล้ว"; CAPA x/y ใน RCA อัปเดต; เมื่อ CAPA ครบ RCA ปิดเรื่องได้</t>
        </is>
      </c>
      <c r="J412" s="10" t="inlineStr">
        <is>
          <t>High</t>
        </is>
      </c>
      <c r="K412" s="5" t="inlineStr">
        <is>
          <t>ผู้จัดการซ่อมบำรุง (maint.mgr)</t>
        </is>
      </c>
      <c r="L412" s="5" t="n"/>
      <c r="M412" s="10" t="inlineStr">
        <is>
          <t>ยังไม่ทดสอบ</t>
        </is>
      </c>
      <c r="N412" s="5" t="n"/>
      <c r="O412" s="18" t="n"/>
      <c r="P412" s="5" t="n"/>
      <c r="Q412" s="5" t="inlineStr">
        <is>
          <t>0bbcc4ce</t>
        </is>
      </c>
    </row>
    <row r="413" ht="33" customHeight="1">
      <c r="A413" s="10" t="inlineStr">
        <is>
          <t>UAT-RCA-009</t>
        </is>
      </c>
      <c r="B413" s="5" t="inlineStr">
        <is>
          <t>RCA / FMEA / CAPA</t>
        </is>
      </c>
      <c r="C413" s="5" t="inlineStr">
        <is>
          <t>RCA / FMEA / CAPA</t>
        </is>
      </c>
      <c r="D413" s="5" t="inlineStr">
        <is>
          <t>ตรวจประสิทธิผล ไม่ผ่าน ส่งกลับ</t>
        </is>
      </c>
      <c r="E413" s="10" t="inlineStr">
        <is>
          <t>Functional</t>
        </is>
      </c>
      <c r="F413" s="5" t="inlineStr">
        <is>
          <t>CAPA สถานะ สำเร็จ รอตรวจ</t>
        </is>
      </c>
      <c r="G413" s="5" t="inlineStr">
        <is>
          <t>1. กด "ไม่ผ่าน ส่งกลับ"</t>
        </is>
      </c>
      <c r="H413" s="5" t="inlineStr">
        <is>
          <t>-</t>
        </is>
      </c>
      <c r="I413" s="5" t="inlineStr">
        <is>
          <t>toast "ส่งกลับให้ผู้รับผิดชอบแก้ไข"; สถานะกลับเป็น กำลังดำเนินการ</t>
        </is>
      </c>
      <c r="J413" s="10" t="inlineStr">
        <is>
          <t>High</t>
        </is>
      </c>
      <c r="K413" s="5" t="inlineStr">
        <is>
          <t>ผู้จัดการซ่อมบำรุง (maint.mgr)</t>
        </is>
      </c>
      <c r="L413" s="5" t="n"/>
      <c r="M413" s="10" t="inlineStr">
        <is>
          <t>ยังไม่ทดสอบ</t>
        </is>
      </c>
      <c r="N413" s="5" t="n"/>
      <c r="O413" s="18" t="n"/>
      <c r="P413" s="5" t="n"/>
      <c r="Q413" s="5" t="inlineStr">
        <is>
          <t>0bbcc4ce</t>
        </is>
      </c>
    </row>
    <row r="414" ht="18.5" customHeight="1">
      <c r="A414" s="10" t="inlineStr">
        <is>
          <t>UAT-RCA-010</t>
        </is>
      </c>
      <c r="B414" s="5" t="inlineStr">
        <is>
          <t>RCA / FMEA / CAPA</t>
        </is>
      </c>
      <c r="C414" s="5" t="inlineStr">
        <is>
          <t>RCA / FMEA / CAPA</t>
        </is>
      </c>
      <c r="D414" s="5" t="inlineStr">
        <is>
          <t>ผู้รับผิดชอบตรวจประสิทธิผลของตนเองไม่ได้</t>
        </is>
      </c>
      <c r="E414" s="10" t="inlineStr">
        <is>
          <t>Permission</t>
        </is>
      </c>
      <c r="F414" s="5" t="inlineStr">
        <is>
          <t>ผู้ใช้เป็นผู้รับผิดชอบ CAPA</t>
        </is>
      </c>
      <c r="G414" s="5" t="inlineStr">
        <is>
          <t>1. กด ผ่าน</t>
        </is>
      </c>
      <c r="H414" s="5" t="inlineStr">
        <is>
          <t>-</t>
        </is>
      </c>
      <c r="I414" s="5" t="inlineStr">
        <is>
          <t>ระบบไม่อนุญาต (แบ่งแยกหน้าที่)</t>
        </is>
      </c>
      <c r="J414" s="10" t="inlineStr">
        <is>
          <t>Medium</t>
        </is>
      </c>
      <c r="K414" s="5" t="inlineStr">
        <is>
          <t>ช่างซ่อมบำรุง (somchai)</t>
        </is>
      </c>
      <c r="L414" s="5" t="n"/>
      <c r="M414" s="10" t="inlineStr">
        <is>
          <t>ยังไม่ทดสอบ</t>
        </is>
      </c>
      <c r="N414" s="5" t="n"/>
      <c r="O414" s="18" t="n"/>
      <c r="P414" s="5" t="n"/>
      <c r="Q414" s="5" t="inlineStr">
        <is>
          <t>0bbcc4ce</t>
        </is>
      </c>
    </row>
    <row r="415" ht="33" customHeight="1">
      <c r="A415" s="10" t="inlineStr">
        <is>
          <t>UAT-RCA-011</t>
        </is>
      </c>
      <c r="B415" s="5" t="inlineStr">
        <is>
          <t>RCA / FMEA / CAPA</t>
        </is>
      </c>
      <c r="C415" s="5" t="inlineStr">
        <is>
          <t>RCA / FMEA / CAPA</t>
        </is>
      </c>
      <c r="D415" s="5" t="inlineStr">
        <is>
          <t>FMEA: Risk matrix และ Pareto RPN</t>
        </is>
      </c>
      <c r="E415" s="10" t="inlineStr">
        <is>
          <t>UI</t>
        </is>
      </c>
      <c r="F415" s="5" t="inlineStr">
        <is>
          <t>เข้าสู่ระบบแล้ว</t>
        </is>
      </c>
      <c r="G415" s="5" t="inlineStr">
        <is>
          <t>1. แท็บ FMEA
2. ตรวจ matrix S × O และกราฟ Pareto</t>
        </is>
      </c>
      <c r="H415" s="5" t="inlineStr">
        <is>
          <t>-</t>
        </is>
      </c>
      <c r="I415" s="5" t="inlineStr">
        <is>
          <t>Matrix 10×10 แสดงจำนวน failure mode ต่อช่อง; ช่อง S×O ≥ 50 เป็นสีแดง; Pareto เรียง RPN มาก→น้อย พร้อม % สะสม</t>
        </is>
      </c>
      <c r="J415" s="10" t="inlineStr">
        <is>
          <t>Medium</t>
        </is>
      </c>
      <c r="K415" s="5" t="inlineStr">
        <is>
          <t>ผู้จัดการซ่อมบำรุง (maint.mgr)</t>
        </is>
      </c>
      <c r="L415" s="5" t="n"/>
      <c r="M415" s="10" t="inlineStr">
        <is>
          <t>ยังไม่ทดสอบ</t>
        </is>
      </c>
      <c r="N415" s="5" t="n"/>
      <c r="O415" s="18" t="n"/>
      <c r="P415" s="5" t="n"/>
      <c r="Q415" s="5" t="inlineStr">
        <is>
          <t>0bbcc4ce</t>
        </is>
      </c>
    </row>
    <row r="416" ht="62" customHeight="1">
      <c r="A416" s="10" t="inlineStr">
        <is>
          <t>UAT-RCA-012</t>
        </is>
      </c>
      <c r="B416" s="5" t="inlineStr">
        <is>
          <t>RCA / FMEA / CAPA</t>
        </is>
      </c>
      <c r="C416" s="5" t="inlineStr">
        <is>
          <t>RCA / FMEA / CAPA</t>
        </is>
      </c>
      <c r="D416" s="5" t="inlineStr">
        <is>
          <t>FMEA: เพิ่ม Failure mode และคำนวณ RPN</t>
        </is>
      </c>
      <c r="E416" s="10" t="inlineStr">
        <is>
          <t>Functional</t>
        </is>
      </c>
      <c r="F416" s="5" t="inlineStr">
        <is>
          <t>แท็บ FMEA</t>
        </is>
      </c>
      <c r="G416" s="5" t="inlineStr">
        <is>
          <t>1. คลิก "+ Failure mode"
2. กรอก ทรัพย์สิน/ชิ้นส่วน, Failure mode → Effect, สาเหตุ/การควบคุม, S=7, O=5, D=6, ข้อเสนอแนะ
3. บันทึก</t>
        </is>
      </c>
      <c r="H416" s="5" t="inlineStr">
        <is>
          <t>S7 O5 D6</t>
        </is>
      </c>
      <c r="I416" s="5" t="inlineStr">
        <is>
          <t>RPN = 210 คำนวณอัตโนมัติ; ระดับ สูง (≥200) สีแดง; KPI FMEA RPN ≥ 200 +1</t>
        </is>
      </c>
      <c r="J416" s="10" t="inlineStr">
        <is>
          <t>High</t>
        </is>
      </c>
      <c r="K416" s="5" t="inlineStr">
        <is>
          <t>ผู้จัดการซ่อมบำรุง (maint.mgr)</t>
        </is>
      </c>
      <c r="L416" s="5" t="n"/>
      <c r="M416" s="10" t="inlineStr">
        <is>
          <t>ยังไม่ทดสอบ</t>
        </is>
      </c>
      <c r="N416" s="5" t="n"/>
      <c r="O416" s="18" t="n"/>
      <c r="P416" s="5" t="n"/>
      <c r="Q416" s="5" t="inlineStr">
        <is>
          <t>0bbcc4ce</t>
        </is>
      </c>
    </row>
    <row r="417" ht="18.5" customHeight="1">
      <c r="A417" s="10" t="inlineStr">
        <is>
          <t>UAT-RCA-013</t>
        </is>
      </c>
      <c r="B417" s="5" t="inlineStr">
        <is>
          <t>RCA / FMEA / CAPA</t>
        </is>
      </c>
      <c r="C417" s="5" t="inlineStr">
        <is>
          <t>RCA / FMEA / CAPA</t>
        </is>
      </c>
      <c r="D417" s="5" t="inlineStr">
        <is>
          <t>FMEA: ค่า S/O/D นอกช่วง 1–10</t>
        </is>
      </c>
      <c r="E417" s="10" t="inlineStr">
        <is>
          <t>Validation</t>
        </is>
      </c>
      <c r="F417" s="5" t="inlineStr">
        <is>
          <t>เปิดฟอร์ม Failure mode</t>
        </is>
      </c>
      <c r="G417" s="5" t="inlineStr">
        <is>
          <t>1. กรอก S = 11 หรือ 0</t>
        </is>
      </c>
      <c r="H417" s="5" t="inlineStr">
        <is>
          <t>-</t>
        </is>
      </c>
      <c r="I417" s="5" t="inlineStr">
        <is>
          <t>ไม่บันทึก แจ้งช่วง 1–10</t>
        </is>
      </c>
      <c r="J417" s="10" t="inlineStr">
        <is>
          <t>Medium</t>
        </is>
      </c>
      <c r="K417" s="5" t="inlineStr">
        <is>
          <t>ผู้จัดการซ่อมบำรุง (maint.mgr)</t>
        </is>
      </c>
      <c r="L417" s="5" t="n"/>
      <c r="M417" s="10" t="inlineStr">
        <is>
          <t>ยังไม่ทดสอบ</t>
        </is>
      </c>
      <c r="N417" s="5" t="n"/>
      <c r="O417" s="18" t="n"/>
      <c r="P417" s="5" t="n"/>
      <c r="Q417" s="5" t="inlineStr">
        <is>
          <t>0bbcc4ce</t>
        </is>
      </c>
    </row>
    <row r="418" ht="18.5" customHeight="1">
      <c r="A418" s="10" t="inlineStr">
        <is>
          <t>UAT-RCA-014</t>
        </is>
      </c>
      <c r="B418" s="5" t="inlineStr">
        <is>
          <t>RCA / FMEA / CAPA</t>
        </is>
      </c>
      <c r="C418" s="5" t="inlineStr">
        <is>
          <t>RCA / FMEA / CAPA</t>
        </is>
      </c>
      <c r="D418" s="5" t="inlineStr">
        <is>
          <t>FMEA → + CAPA</t>
        </is>
      </c>
      <c r="E418" s="10" t="inlineStr">
        <is>
          <t>Functional</t>
        </is>
      </c>
      <c r="F418" s="5" t="inlineStr">
        <is>
          <t>มี failure mode RPN 288</t>
        </is>
      </c>
      <c r="G418" s="5" t="inlineStr">
        <is>
          <t>1. คลิก "+ CAPA" ที่แถว</t>
        </is>
      </c>
      <c r="H418" s="5" t="inlineStr">
        <is>
          <t>-</t>
        </is>
      </c>
      <c r="I418" s="5" t="inlineStr">
        <is>
          <t>สร้าง CAPA ที่มา = FMEA #… และแสดงในแท็บ CAPA</t>
        </is>
      </c>
      <c r="J418" s="10" t="inlineStr">
        <is>
          <t>Medium</t>
        </is>
      </c>
      <c r="K418" s="5" t="inlineStr">
        <is>
          <t>ผู้จัดการซ่อมบำรุง (maint.mgr)</t>
        </is>
      </c>
      <c r="L418" s="5" t="n"/>
      <c r="M418" s="10" t="inlineStr">
        <is>
          <t>ยังไม่ทดสอบ</t>
        </is>
      </c>
      <c r="N418" s="5" t="n"/>
      <c r="O418" s="18" t="n"/>
      <c r="P418" s="5" t="n"/>
      <c r="Q418" s="5" t="inlineStr">
        <is>
          <t>0bbcc4ce</t>
        </is>
      </c>
    </row>
    <row r="419" ht="33" customHeight="1">
      <c r="A419" s="10" t="inlineStr">
        <is>
          <t>UAT-RCA-015</t>
        </is>
      </c>
      <c r="B419" s="5" t="inlineStr">
        <is>
          <t>RCA / FMEA / CAPA</t>
        </is>
      </c>
      <c r="C419" s="5" t="inlineStr">
        <is>
          <t>RCA / FMEA / CAPA</t>
        </is>
      </c>
      <c r="D419" s="5" t="inlineStr">
        <is>
          <t>รายการ "ควรทำ RCA" จากเสียซ้ำ</t>
        </is>
      </c>
      <c r="E419" s="10" t="inlineStr">
        <is>
          <t>Functional</t>
        </is>
      </c>
      <c r="F419" s="5" t="inlineStr">
        <is>
          <t>ทรัพย์สินเสียซ้ำตามเกณฑ์ (2 ครั้ง/180 วัน) และยังไม่มี RCA</t>
        </is>
      </c>
      <c r="G419" s="5" t="inlineStr">
        <is>
          <t>1. ตรวจแผง ควรทำ RCA</t>
        </is>
      </c>
      <c r="H419" s="5" t="inlineStr">
        <is>
          <t>-</t>
        </is>
      </c>
      <c r="I419" s="5" t="inlineStr">
        <is>
          <t>แสดงทรัพย์สินที่เข้าเกณฑ์ พร้อมปุ่มเปิดเรื่อง; ถ้าไม่มีแสดง "ไม่มีเครื่องที่เข้าเกณฑ์"</t>
        </is>
      </c>
      <c r="J419" s="10" t="inlineStr">
        <is>
          <t>Medium</t>
        </is>
      </c>
      <c r="K419" s="5" t="inlineStr">
        <is>
          <t>ผู้จัดการซ่อมบำรุง (maint.mgr)</t>
        </is>
      </c>
      <c r="L419" s="5" t="n"/>
      <c r="M419" s="10" t="inlineStr">
        <is>
          <t>ยังไม่ทดสอบ</t>
        </is>
      </c>
      <c r="N419" s="5" t="n"/>
      <c r="O419" s="18" t="n"/>
      <c r="P419" s="5" t="inlineStr">
        <is>
          <t>แผงนี้มีในระบบเดิม ตรวจใน mockup</t>
        </is>
      </c>
      <c r="Q419" s="5" t="inlineStr">
        <is>
          <t>0bbcc4ce</t>
        </is>
      </c>
    </row>
    <row r="420" ht="33" customHeight="1">
      <c r="A420" s="10" t="inlineStr">
        <is>
          <t>UAT-RCA-016</t>
        </is>
      </c>
      <c r="B420" s="5" t="inlineStr">
        <is>
          <t>RCA / FMEA / CAPA</t>
        </is>
      </c>
      <c r="C420" s="5" t="inlineStr">
        <is>
          <t>RCA / FMEA / CAPA</t>
        </is>
      </c>
      <c r="D420" s="5" t="inlineStr">
        <is>
          <t>แจ้งเตือน CAPA เกินกำหนด</t>
        </is>
      </c>
      <c r="E420" s="10" t="inlineStr">
        <is>
          <t>Functional</t>
        </is>
      </c>
      <c r="F420" s="5" t="inlineStr">
        <is>
          <t>มี CAPA เกินกำหนด 2</t>
        </is>
      </c>
      <c r="G420" s="5" t="inlineStr">
        <is>
          <t>1. รัน cron capa_overdue 08:00
2. ดูกระดิ่ง</t>
        </is>
      </c>
      <c r="H420" s="5" t="inlineStr">
        <is>
          <t>-</t>
        </is>
      </c>
      <c r="I420" s="5" t="inlineStr">
        <is>
          <t>ผู้รับผิดชอบได้รับแจ้งเตือน "CAPA เกินกำหนด n รายการ"</t>
        </is>
      </c>
      <c r="J420" s="10" t="inlineStr">
        <is>
          <t>Low</t>
        </is>
      </c>
      <c r="K420" s="5" t="inlineStr">
        <is>
          <t>ผู้จัดการซ่อมบำรุง (maint.mgr)</t>
        </is>
      </c>
      <c r="L420" s="5" t="n"/>
      <c r="M420" s="10" t="inlineStr">
        <is>
          <t>ยังไม่ทดสอบ</t>
        </is>
      </c>
      <c r="N420" s="5" t="n"/>
      <c r="O420" s="18" t="n"/>
      <c r="P420" s="5" t="n"/>
      <c r="Q420" s="5" t="inlineStr">
        <is>
          <t>0bbcc4ce</t>
        </is>
      </c>
    </row>
    <row r="421" ht="18.5" customHeight="1">
      <c r="A421" s="10" t="inlineStr">
        <is>
          <t>UAT-RCA-017</t>
        </is>
      </c>
      <c r="B421" s="5" t="inlineStr">
        <is>
          <t>RCA / FMEA / CAPA</t>
        </is>
      </c>
      <c r="C421" s="5" t="inlineStr">
        <is>
          <t>RCA / FMEA / CAPA</t>
        </is>
      </c>
      <c r="D421" s="5" t="inlineStr">
        <is>
          <t>ผู้ไม่มีสิทธิ์จัดการ RCA</t>
        </is>
      </c>
      <c r="E421" s="10" t="inlineStr">
        <is>
          <t>Permission</t>
        </is>
      </c>
      <c r="F421" s="5" t="inlineStr">
        <is>
          <t>ล็อกอินเป็นผู้แจ้งซ่อม</t>
        </is>
      </c>
      <c r="G421" s="5" t="inlineStr">
        <is>
          <t>1. เปิดหน้า RCA</t>
        </is>
      </c>
      <c r="H421" s="5" t="inlineStr">
        <is>
          <t>-</t>
        </is>
      </c>
      <c r="I421" s="5" t="inlineStr">
        <is>
          <t>ไม่เห็นปุ่มเปิดเรื่อง/เพิ่ม Failure mode</t>
        </is>
      </c>
      <c r="J421" s="10" t="inlineStr">
        <is>
          <t>Medium</t>
        </is>
      </c>
      <c r="K421" s="5" t="inlineStr">
        <is>
          <t>ผู้แจ้งซ่อม/ผู้ใช้งานทั่วไป (user)</t>
        </is>
      </c>
      <c r="L421" s="5" t="n"/>
      <c r="M421" s="10" t="inlineStr">
        <is>
          <t>ยังไม่ทดสอบ</t>
        </is>
      </c>
      <c r="N421" s="5" t="n"/>
      <c r="O421" s="18" t="n"/>
      <c r="P421" s="5" t="n"/>
      <c r="Q421" s="5" t="inlineStr">
        <is>
          <t>0bbcc4ce</t>
        </is>
      </c>
    </row>
    <row r="422" ht="33" customHeight="1">
      <c r="A422" s="10" t="inlineStr">
        <is>
          <t>UAT-RCA-018</t>
        </is>
      </c>
      <c r="B422" s="5" t="inlineStr">
        <is>
          <t>RCA / FMEA / CAPA</t>
        </is>
      </c>
      <c r="C422" s="5" t="inlineStr">
        <is>
          <t>RCA / FMEA / CAPA</t>
        </is>
      </c>
      <c r="D422" s="5" t="inlineStr">
        <is>
          <t>ค้นหาไม่พบข้อมูล (RCA / FMEA / CAPA)</t>
        </is>
      </c>
      <c r="E422" s="10" t="inlineStr">
        <is>
          <t>Negative</t>
        </is>
      </c>
      <c r="F422" s="5" t="inlineStr">
        <is>
          <t>เข้าสู่ระบบแล้ว และอยู่ที่หน้าRCA / FMEA / CAPA</t>
        </is>
      </c>
      <c r="G422" s="5" t="inlineStr">
        <is>
          <t>1. พิมพ์คำค้นที่ไม่มีอยู่จริงในช่อง "ค้นหา RCA / CAPA / ทรัพย์สิน…"
2. สังเกตตาราง/รายการ</t>
        </is>
      </c>
      <c r="H422" s="5" t="inlineStr">
        <is>
          <t>คำค้น: ZZZ-NOTFOUND-999</t>
        </is>
      </c>
      <c r="I422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422" s="10" t="inlineStr">
        <is>
          <t>Low</t>
        </is>
      </c>
      <c r="K422" s="5" t="inlineStr">
        <is>
          <t>ผู้จัดการซ่อมบำรุง (maint.mgr)</t>
        </is>
      </c>
      <c r="L422" s="5" t="n"/>
      <c r="M422" s="10" t="inlineStr">
        <is>
          <t>ยังไม่ทดสอบ</t>
        </is>
      </c>
      <c r="N422" s="5" t="n"/>
      <c r="O422" s="18" t="n"/>
      <c r="P422" s="5" t="n"/>
      <c r="Q422" s="5" t="inlineStr">
        <is>
          <t>0bbcc4ce</t>
        </is>
      </c>
    </row>
    <row r="423" ht="47.5" customHeight="1">
      <c r="A423" s="10" t="inlineStr">
        <is>
          <t>UAT-RCA-019</t>
        </is>
      </c>
      <c r="B423" s="5" t="inlineStr">
        <is>
          <t>RCA / FMEA / CAPA</t>
        </is>
      </c>
      <c r="C423" s="5" t="inlineStr">
        <is>
          <t>RCA / FMEA / CAPA</t>
        </is>
      </c>
      <c r="D423" s="5" t="inlineStr">
        <is>
          <t>ค้นหาด้วยคำค้นที่มีอยู่จริง (RCA / FMEA / CAPA)</t>
        </is>
      </c>
      <c r="E423" s="10" t="inlineStr">
        <is>
          <t>Functional</t>
        </is>
      </c>
      <c r="F423" s="5" t="inlineStr">
        <is>
          <t>เข้าสู่ระบบแล้ว และอยู่ที่หน้าRCA / FMEA / CAPA</t>
        </is>
      </c>
      <c r="G423" s="5" t="inlineStr">
        <is>
          <t>1. พิมพ์คำค้นในช่อง "ค้นหา RCA / CAPA / ทรัพย์สิน…"
2. ตรวจรายการที่แสดง
3. ล้างคำค้น</t>
        </is>
      </c>
      <c r="H423" s="5" t="inlineStr">
        <is>
          <t>คำค้น: CONV-03</t>
        </is>
      </c>
      <c r="I423" s="5" t="inlineStr">
        <is>
          <t>แสดงเฉพาะรายการที่ตรงกับคำค้น (RCA-2569-0001 CONV-03 ลูกปืนแตกซ้ำ); เมื่อล้างคำค้นรายการกลับมาครบ</t>
        </is>
      </c>
      <c r="J423" s="10" t="inlineStr">
        <is>
          <t>Medium</t>
        </is>
      </c>
      <c r="K423" s="5" t="inlineStr">
        <is>
          <t>ผู้จัดการซ่อมบำรุง (maint.mgr)</t>
        </is>
      </c>
      <c r="L423" s="5" t="n"/>
      <c r="M423" s="10" t="inlineStr">
        <is>
          <t>ยังไม่ทดสอบ</t>
        </is>
      </c>
      <c r="N423" s="5" t="n"/>
      <c r="O423" s="18" t="n"/>
      <c r="P423" s="5" t="n"/>
      <c r="Q423" s="5" t="inlineStr">
        <is>
          <t>0bbcc4ce</t>
        </is>
      </c>
    </row>
    <row r="424" ht="62" customHeight="1">
      <c r="A424" s="10" t="inlineStr">
        <is>
          <t>UAT-RCA-020</t>
        </is>
      </c>
      <c r="B424" s="5" t="inlineStr">
        <is>
          <t>RCA / FMEA / CAPA</t>
        </is>
      </c>
      <c r="C424" s="5" t="inlineStr">
        <is>
          <t>RCA / FMEA / CAPA</t>
        </is>
      </c>
      <c r="D424" s="5" t="inlineStr">
        <is>
          <t>แสดงผลบนมือถือ 375px (RCA / FMEA / CAPA)</t>
        </is>
      </c>
      <c r="E424" s="10" t="inlineStr">
        <is>
          <t>Responsive</t>
        </is>
      </c>
      <c r="F424" s="5" t="inlineStr">
        <is>
          <t>เข้าสู่ระบบแล้ว; เปิด DevTools โหมดอุปกรณ์ iPhone SE/375×667</t>
        </is>
      </c>
      <c r="G424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24" s="5" t="inlineStr">
        <is>
          <t>ความกว้าง 375px</t>
        </is>
      </c>
      <c r="I424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24" s="10" t="inlineStr">
        <is>
          <t>Medium</t>
        </is>
      </c>
      <c r="K424" s="5" t="inlineStr">
        <is>
          <t>ผู้จัดการซ่อมบำรุง (maint.mgr)</t>
        </is>
      </c>
      <c r="L424" s="5" t="n"/>
      <c r="M424" s="10" t="inlineStr">
        <is>
          <t>ยังไม่ทดสอบ</t>
        </is>
      </c>
      <c r="N424" s="5" t="n"/>
      <c r="O424" s="18" t="n"/>
      <c r="P424" s="5" t="n"/>
      <c r="Q424" s="5" t="inlineStr">
        <is>
          <t>0bbcc4ce</t>
        </is>
      </c>
    </row>
    <row r="425" ht="62" customHeight="1">
      <c r="A425" s="10" t="inlineStr">
        <is>
          <t>UAT-RCA-021</t>
        </is>
      </c>
      <c r="B425" s="5" t="inlineStr">
        <is>
          <t>RCA / FMEA / CAPA</t>
        </is>
      </c>
      <c r="C425" s="5" t="inlineStr">
        <is>
          <t>RCA / FMEA / CAPA</t>
        </is>
      </c>
      <c r="D425" s="5" t="inlineStr">
        <is>
          <t>แสดงผลบน Desktop 1920px และความอ่านง่ายธีมมืด (RCA / FMEA / CAPA)</t>
        </is>
      </c>
      <c r="E425" s="10" t="inlineStr">
        <is>
          <t>UI</t>
        </is>
      </c>
      <c r="F425" s="5" t="inlineStr">
        <is>
          <t>เข้าสู่ระบบแล้ว; หน้าจอ 1920×1080</t>
        </is>
      </c>
      <c r="G425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25" s="5" t="inlineStr">
        <is>
          <t>ความกว้าง 1920px</t>
        </is>
      </c>
      <c r="I425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25" s="10" t="inlineStr">
        <is>
          <t>Low</t>
        </is>
      </c>
      <c r="K425" s="5" t="inlineStr">
        <is>
          <t>ผู้จัดการซ่อมบำรุง (maint.mgr)</t>
        </is>
      </c>
      <c r="L425" s="5" t="n"/>
      <c r="M425" s="10" t="inlineStr">
        <is>
          <t>ยังไม่ทดสอบ</t>
        </is>
      </c>
      <c r="N425" s="5" t="n"/>
      <c r="O425" s="18" t="n"/>
      <c r="P425" s="5" t="n"/>
      <c r="Q425" s="5" t="inlineStr">
        <is>
          <t>0bbcc4ce</t>
        </is>
      </c>
    </row>
    <row r="426" ht="47.5" customHeight="1">
      <c r="A426" s="10" t="inlineStr">
        <is>
          <t>UAT-RPT-001</t>
        </is>
      </c>
      <c r="B426" s="5" t="inlineStr">
        <is>
          <t>รายงาน &amp; KPI</t>
        </is>
      </c>
      <c r="C426" s="5" t="inlineStr">
        <is>
          <t>รายงาน &amp; KPI</t>
        </is>
      </c>
      <c r="D426" s="5" t="inlineStr">
        <is>
          <t>รายงานเริ่มต้น KPI งานซ่อมบำรุงรายเดือน</t>
        </is>
      </c>
      <c r="E426" s="10" t="inlineStr">
        <is>
          <t>UI</t>
        </is>
      </c>
      <c r="F426" s="5" t="inlineStr">
        <is>
          <t>เข้าสู่ระบบแล้ว</t>
        </is>
      </c>
      <c r="G426" s="5" t="inlineStr">
        <is>
          <t>1. เปิดหน้ารายงาน</t>
        </is>
      </c>
      <c r="H426" s="5" t="inlineStr">
        <is>
          <t>-</t>
        </is>
      </c>
      <c r="I426" s="5" t="inlineStr">
        <is>
          <t>รายการด้านซ้ายจัดกลุ่ม (ซ่อมบำรุง, ต้นทุน, ความน่าเชื่อถือ, บุคลากร, ทรัพย์สิน, คลัง); KPI Breakdown, MTBF, Availability, Backlog, ค่าใช้จ่ายรวม; กราฟและตารางรายเดือน พ.ศ.</t>
        </is>
      </c>
      <c r="J426" s="10" t="inlineStr">
        <is>
          <t>Medium</t>
        </is>
      </c>
      <c r="K426" s="5" t="inlineStr">
        <is>
          <t>ผู้บริหาร (exec)</t>
        </is>
      </c>
      <c r="L426" s="5" t="n"/>
      <c r="M426" s="10" t="inlineStr">
        <is>
          <t>ยังไม่ทดสอบ</t>
        </is>
      </c>
      <c r="N426" s="5" t="n"/>
      <c r="O426" s="18" t="n"/>
      <c r="P426" s="5" t="n"/>
      <c r="Q426" s="5" t="inlineStr">
        <is>
          <t>ec06d085 + c388f6ca</t>
        </is>
      </c>
    </row>
    <row r="427" ht="47.5" customHeight="1">
      <c r="A427" s="10" t="inlineStr">
        <is>
          <t>UAT-RPT-002</t>
        </is>
      </c>
      <c r="B427" s="5" t="inlineStr">
        <is>
          <t>รายงาน &amp; KPI</t>
        </is>
      </c>
      <c r="C427" s="5" t="inlineStr">
        <is>
          <t>รายงาน &amp; KPI</t>
        </is>
      </c>
      <c r="D427" s="5" t="inlineStr">
        <is>
          <t>เปลี่ยนรายงานจากรายการด้านซ้าย</t>
        </is>
      </c>
      <c r="E427" s="10" t="inlineStr">
        <is>
          <t>Functional</t>
        </is>
      </c>
      <c r="F427" s="5" t="inlineStr">
        <is>
          <t>เข้าสู่ระบบแล้ว</t>
        </is>
      </c>
      <c r="G427" s="5" t="inlineStr">
        <is>
          <t>1. คลิกทีละรายงาน: สรุปใบสั่งงานตามประเภท &amp; SLA, PM Compliance, ค่าซ่อมตามทรัพย์สิน, Bad Actors, ผลงานช่าง, สรุปทะเบียนตามหมวด, ผลการตรวจนับ, การจ่ายอะไหล่</t>
        </is>
      </c>
      <c r="H427" s="5" t="inlineStr">
        <is>
          <t>-</t>
        </is>
      </c>
      <c r="I427" s="5" t="inlineStr">
        <is>
          <t>แต่ละรายงานแสดงหัวข้อ คำอธิบาย KPI กราฟ และคอลัมน์ตาราง เฉพาะของตน; รายงานที่เลือกถูกไฮไลต์</t>
        </is>
      </c>
      <c r="J427" s="10" t="inlineStr">
        <is>
          <t>High</t>
        </is>
      </c>
      <c r="K427" s="5" t="inlineStr">
        <is>
          <t>ผู้บริหาร (exec)</t>
        </is>
      </c>
      <c r="L427" s="5" t="n"/>
      <c r="M427" s="10" t="inlineStr">
        <is>
          <t>ยังไม่ทดสอบ</t>
        </is>
      </c>
      <c r="N427" s="5" t="n"/>
      <c r="O427" s="18" t="n"/>
      <c r="P427" s="5" t="n"/>
      <c r="Q427" s="5" t="inlineStr">
        <is>
          <t>ec06d085 + c388f6ca</t>
        </is>
      </c>
    </row>
    <row r="428" ht="33" customHeight="1">
      <c r="A428" s="10" t="inlineStr">
        <is>
          <t>UAT-RPT-003</t>
        </is>
      </c>
      <c r="B428" s="5" t="inlineStr">
        <is>
          <t>รายงาน &amp; KPI</t>
        </is>
      </c>
      <c r="C428" s="5" t="inlineStr">
        <is>
          <t>รายงาน &amp; KPI</t>
        </is>
      </c>
      <c r="D428" s="5" t="inlineStr">
        <is>
          <t>ช่วงลัด เดือนนี้/3 เดือน/12 เดือน/ปีงบประมาณนี้</t>
        </is>
      </c>
      <c r="E428" s="10" t="inlineStr">
        <is>
          <t>Functional</t>
        </is>
      </c>
      <c r="F428" s="5" t="inlineStr">
        <is>
          <t>เข้าสู่ระบบแล้ว</t>
        </is>
      </c>
      <c r="G428" s="5" t="inlineStr">
        <is>
          <t>1. คลิกช่วงลัด "ปีงบประมาณนี้"
2. กด "แสดง"</t>
        </is>
      </c>
      <c r="H428" s="5" t="inlineStr">
        <is>
          <t>-</t>
        </is>
      </c>
      <c r="I428" s="5" t="inlineStr">
        <is>
          <t>วันที่ ตั้งแต่/ถึง ปรับเป็น 1 ต.ค. 2569 – วันนี้; รายงานคำนวณใหม่ (toast "อัปเดตรายงานแล้ว")</t>
        </is>
      </c>
      <c r="J428" s="10" t="inlineStr">
        <is>
          <t>Medium</t>
        </is>
      </c>
      <c r="K428" s="5" t="inlineStr">
        <is>
          <t>ผู้บริหาร (exec)</t>
        </is>
      </c>
      <c r="L428" s="5" t="n"/>
      <c r="M428" s="10" t="inlineStr">
        <is>
          <t>ยังไม่ทดสอบ</t>
        </is>
      </c>
      <c r="N428" s="5" t="n"/>
      <c r="O428" s="18" t="n"/>
      <c r="P428" s="5" t="n"/>
      <c r="Q428" s="5" t="inlineStr">
        <is>
          <t>ec06d085 + c388f6ca</t>
        </is>
      </c>
    </row>
    <row r="429" ht="33" customHeight="1">
      <c r="A429" s="10" t="inlineStr">
        <is>
          <t>UAT-RPT-004</t>
        </is>
      </c>
      <c r="B429" s="5" t="inlineStr">
        <is>
          <t>รายงาน &amp; KPI</t>
        </is>
      </c>
      <c r="C429" s="5" t="inlineStr">
        <is>
          <t>รายงาน &amp; KPI</t>
        </is>
      </c>
      <c r="D429" s="5" t="inlineStr">
        <is>
          <t>กำหนดช่วงวันที่เอง</t>
        </is>
      </c>
      <c r="E429" s="10" t="inlineStr">
        <is>
          <t>Functional</t>
        </is>
      </c>
      <c r="F429" s="5" t="inlineStr">
        <is>
          <t>เข้าสู่ระบบแล้ว</t>
        </is>
      </c>
      <c r="G429" s="5" t="inlineStr">
        <is>
          <t>1. กรอก ตั้งแต่ 01/01/2569 ถึง 31/03/2569
2. กดแสดง</t>
        </is>
      </c>
      <c r="H429" s="5" t="inlineStr">
        <is>
          <t>-</t>
        </is>
      </c>
      <c r="I429" s="5" t="inlineStr">
        <is>
          <t>ตารางแสดงเฉพาะ ม.ค.–มี.ค. 2569; ยอดรวมถูกต้อง</t>
        </is>
      </c>
      <c r="J429" s="10" t="inlineStr">
        <is>
          <t>Medium</t>
        </is>
      </c>
      <c r="K429" s="5" t="inlineStr">
        <is>
          <t>ผู้บริหาร (exec)</t>
        </is>
      </c>
      <c r="L429" s="5" t="n"/>
      <c r="M429" s="10" t="inlineStr">
        <is>
          <t>ยังไม่ทดสอบ</t>
        </is>
      </c>
      <c r="N429" s="5" t="n"/>
      <c r="O429" s="18" t="n"/>
      <c r="P429" s="5" t="n"/>
      <c r="Q429" s="5" t="inlineStr">
        <is>
          <t>ec06d085 + c388f6ca</t>
        </is>
      </c>
    </row>
    <row r="430" ht="33" customHeight="1">
      <c r="A430" s="10" t="inlineStr">
        <is>
          <t>UAT-RPT-005</t>
        </is>
      </c>
      <c r="B430" s="5" t="inlineStr">
        <is>
          <t>รายงาน &amp; KPI</t>
        </is>
      </c>
      <c r="C430" s="5" t="inlineStr">
        <is>
          <t>รายงาน &amp; KPI</t>
        </is>
      </c>
      <c r="D430" s="5" t="inlineStr">
        <is>
          <t>วันที่สิ้นสุดก่อนวันเริ่ม</t>
        </is>
      </c>
      <c r="E430" s="10" t="inlineStr">
        <is>
          <t>Validation</t>
        </is>
      </c>
      <c r="F430" s="5" t="inlineStr">
        <is>
          <t>เข้าสู่ระบบแล้ว</t>
        </is>
      </c>
      <c r="G430" s="5" t="inlineStr">
        <is>
          <t>1. กรอก ถึง ก่อน ตั้งแต่
2. กดแสดง</t>
        </is>
      </c>
      <c r="H430" s="5" t="inlineStr">
        <is>
          <t>-</t>
        </is>
      </c>
      <c r="I430" s="5" t="inlineStr">
        <is>
          <t>แจ้งเตือนช่วงวันที่ไม่ถูกต้อง ไม่สร้างรายงาน</t>
        </is>
      </c>
      <c r="J430" s="10" t="inlineStr">
        <is>
          <t>Medium</t>
        </is>
      </c>
      <c r="K430" s="5" t="inlineStr">
        <is>
          <t>ผู้บริหาร (exec)</t>
        </is>
      </c>
      <c r="L430" s="5" t="n"/>
      <c r="M430" s="10" t="inlineStr">
        <is>
          <t>ยังไม่ทดสอบ</t>
        </is>
      </c>
      <c r="N430" s="5" t="n"/>
      <c r="O430" s="18" t="n"/>
      <c r="P430" s="5" t="n"/>
      <c r="Q430" s="5" t="inlineStr">
        <is>
          <t>ec06d085 + c388f6ca</t>
        </is>
      </c>
    </row>
    <row r="431" ht="33" customHeight="1">
      <c r="A431" s="10" t="inlineStr">
        <is>
          <t>UAT-RPT-006</t>
        </is>
      </c>
      <c r="B431" s="5" t="inlineStr">
        <is>
          <t>รายงาน &amp; KPI</t>
        </is>
      </c>
      <c r="C431" s="5" t="inlineStr">
        <is>
          <t>รายงาน &amp; KPI</t>
        </is>
      </c>
      <c r="D431" s="5" t="inlineStr">
        <is>
          <t>กรองตามไซต์</t>
        </is>
      </c>
      <c r="E431" s="10" t="inlineStr">
        <is>
          <t>Functional</t>
        </is>
      </c>
      <c r="F431" s="5" t="inlineStr">
        <is>
          <t>เข้าสู่ระบบแล้ว</t>
        </is>
      </c>
      <c r="G431" s="5" t="inlineStr">
        <is>
          <t>1. เลือกไซต์ โรงงานระยอง
2. แสดง</t>
        </is>
      </c>
      <c r="H431" s="5" t="inlineStr">
        <is>
          <t>-</t>
        </is>
      </c>
      <c r="I431" s="5" t="inlineStr">
        <is>
          <t>ตัวเลขรายงานเฉพาะไซต์ระยอง</t>
        </is>
      </c>
      <c r="J431" s="10" t="inlineStr">
        <is>
          <t>Medium</t>
        </is>
      </c>
      <c r="K431" s="5" t="inlineStr">
        <is>
          <t>ผู้บริหาร (exec)</t>
        </is>
      </c>
      <c r="L431" s="5" t="n"/>
      <c r="M431" s="10" t="inlineStr">
        <is>
          <t>ยังไม่ทดสอบ</t>
        </is>
      </c>
      <c r="N431" s="5" t="n"/>
      <c r="O431" s="18" t="n"/>
      <c r="P431" s="5" t="n"/>
      <c r="Q431" s="5" t="inlineStr">
        <is>
          <t>ec06d085 + c388f6ca</t>
        </is>
      </c>
    </row>
    <row r="432" ht="33" customHeight="1">
      <c r="A432" s="10" t="inlineStr">
        <is>
          <t>UAT-RPT-007</t>
        </is>
      </c>
      <c r="B432" s="5" t="inlineStr">
        <is>
          <t>รายงาน &amp; KPI</t>
        </is>
      </c>
      <c r="C432" s="5" t="inlineStr">
        <is>
          <t>รายงาน &amp; KPI</t>
        </is>
      </c>
      <c r="D432" s="5" t="inlineStr">
        <is>
          <t>ความถูกต้องของ KPI (MTTR/MTBF/Availability)</t>
        </is>
      </c>
      <c r="E432" s="10" t="inlineStr">
        <is>
          <t>Functional</t>
        </is>
      </c>
      <c r="F432" s="5" t="inlineStr">
        <is>
          <t>ชุดข้อมูลทดสอบที่ทราบค่า</t>
        </is>
      </c>
      <c r="G432" s="5" t="inlineStr">
        <is>
          <t>1. เปรียบเทียบค่าในรายงานกับการคำนวณด้วย Excel</t>
        </is>
      </c>
      <c r="H432" s="5" t="inlineStr">
        <is>
          <t>MTTR = เวลาซ่อมรวม/จำนวนงาน</t>
        </is>
      </c>
      <c r="I432" s="5" t="inlineStr">
        <is>
          <t>ค่าตรงกับสูตร (คลาดเคลื่อนปัดเศษ ≤ 0.1)</t>
        </is>
      </c>
      <c r="J432" s="10" t="inlineStr">
        <is>
          <t>High</t>
        </is>
      </c>
      <c r="K432" s="5" t="inlineStr">
        <is>
          <t>ผู้จัดการซ่อมบำรุง (maint.mgr)</t>
        </is>
      </c>
      <c r="L432" s="5" t="n"/>
      <c r="M432" s="10" t="inlineStr">
        <is>
          <t>ยังไม่ทดสอบ</t>
        </is>
      </c>
      <c r="N432" s="5" t="n"/>
      <c r="O432" s="18" t="n"/>
      <c r="P432" s="5" t="n"/>
      <c r="Q432" s="5" t="inlineStr">
        <is>
          <t>ec06d085 + c388f6ca</t>
        </is>
      </c>
    </row>
    <row r="433" ht="33" customHeight="1">
      <c r="A433" s="10" t="inlineStr">
        <is>
          <t>UAT-RPT-008</t>
        </is>
      </c>
      <c r="B433" s="5" t="inlineStr">
        <is>
          <t>รายงาน &amp; KPI</t>
        </is>
      </c>
      <c r="C433" s="5" t="inlineStr">
        <is>
          <t>รายงาน &amp; KPI</t>
        </is>
      </c>
      <c r="D433" s="5" t="inlineStr">
        <is>
          <t>ส่งออก Excel / CSV</t>
        </is>
      </c>
      <c r="E433" s="10" t="inlineStr">
        <is>
          <t>Functional</t>
        </is>
      </c>
      <c r="F433" s="5" t="inlineStr">
        <is>
          <t>แสดงรายงานแล้ว</t>
        </is>
      </c>
      <c r="G433" s="5" t="inlineStr">
        <is>
          <t>1. คลิก Excel
2. คลิก CSV</t>
        </is>
      </c>
      <c r="H433" s="5" t="inlineStr">
        <is>
          <t>-</t>
        </is>
      </c>
      <c r="I433" s="5" t="inlineStr">
        <is>
          <t>ไฟล์ตรงกับตารางบนจอ ภาษาไทยไม่เพี้ยน ตัวเลขเป็นตัวเลข (ไม่ใช่ข้อความ)</t>
        </is>
      </c>
      <c r="J433" s="10" t="inlineStr">
        <is>
          <t>High</t>
        </is>
      </c>
      <c r="K433" s="5" t="inlineStr">
        <is>
          <t>ผู้บริหาร (exec)</t>
        </is>
      </c>
      <c r="L433" s="5" t="n"/>
      <c r="M433" s="10" t="inlineStr">
        <is>
          <t>ยังไม่ทดสอบ</t>
        </is>
      </c>
      <c r="N433" s="5" t="n"/>
      <c r="O433" s="18" t="n"/>
      <c r="P433" s="5" t="n"/>
      <c r="Q433" s="5" t="inlineStr">
        <is>
          <t>ec06d085 + c388f6ca</t>
        </is>
      </c>
    </row>
    <row r="434" ht="33" customHeight="1">
      <c r="A434" s="10" t="inlineStr">
        <is>
          <t>UAT-RPT-009</t>
        </is>
      </c>
      <c r="B434" s="5" t="inlineStr">
        <is>
          <t>รายงาน &amp; KPI</t>
        </is>
      </c>
      <c r="C434" s="5" t="inlineStr">
        <is>
          <t>รายงาน &amp; KPI</t>
        </is>
      </c>
      <c r="D434" s="5" t="inlineStr">
        <is>
          <t>พิมพ์รายงาน</t>
        </is>
      </c>
      <c r="E434" s="10" t="inlineStr">
        <is>
          <t>Functional</t>
        </is>
      </c>
      <c r="F434" s="5" t="inlineStr">
        <is>
          <t>แสดงรายงานแล้ว</t>
        </is>
      </c>
      <c r="G434" s="5" t="inlineStr">
        <is>
          <t>1. คลิก "พิมพ์"</t>
        </is>
      </c>
      <c r="H434" s="5" t="inlineStr">
        <is>
          <t>-</t>
        </is>
      </c>
      <c r="I434" s="5" t="inlineStr">
        <is>
          <t>Print preview พื้นขาวอ่านง่าย ไม่มี sidebar กราฟและตารางไม่ถูกตัดขอบกระดาษ</t>
        </is>
      </c>
      <c r="J434" s="10" t="inlineStr">
        <is>
          <t>Low</t>
        </is>
      </c>
      <c r="K434" s="5" t="inlineStr">
        <is>
          <t>ผู้บริหาร (exec)</t>
        </is>
      </c>
      <c r="L434" s="5" t="n"/>
      <c r="M434" s="10" t="inlineStr">
        <is>
          <t>ยังไม่ทดสอบ</t>
        </is>
      </c>
      <c r="N434" s="5" t="n"/>
      <c r="O434" s="18" t="n"/>
      <c r="P434" s="5" t="n"/>
      <c r="Q434" s="5" t="inlineStr">
        <is>
          <t>ec06d085 + c388f6ca</t>
        </is>
      </c>
    </row>
    <row r="435" ht="62" customHeight="1">
      <c r="A435" s="10" t="inlineStr">
        <is>
          <t>UAT-RPT-010</t>
        </is>
      </c>
      <c r="B435" s="5" t="inlineStr">
        <is>
          <t>รายงาน &amp; KPI</t>
        </is>
      </c>
      <c r="C435" s="5" t="inlineStr">
        <is>
          <t>รายงาน &amp; KPI</t>
        </is>
      </c>
      <c r="D435" s="5" t="inlineStr">
        <is>
          <t>สร้างรายงานกำหนดเอง</t>
        </is>
      </c>
      <c r="E435" s="10" t="inlineStr">
        <is>
          <t>Functional</t>
        </is>
      </c>
      <c r="F435" s="5" t="inlineStr">
        <is>
          <t>มีสิทธิ์ ส่งออกรายงาน</t>
        </is>
      </c>
      <c r="G435" s="5" t="inlineStr">
        <is>
          <t>1. คลิก "+ รายงานกำหนดเอง"
2. ตั้งชื่อ เลือกแหล่งข้อมูล เลือกคอลัมน์ (รวมฟิลด์เพิ่มเติม) จัดกลุ่ม กราฟ ตั้งเวลาส่งอีเมล
3. บันทึกรายงาน</t>
        </is>
      </c>
      <c r="H435" s="5" t="inlineStr">
        <is>
          <t>ค่าซ่อมตามแผนก; ใบสั่งงาน; คอลัมน์ เลขที่/ทรัพย์สิน/ค่าใช้จ่าย/ฟิลด์กำหนดเอง: แผนก; จัดกลุ่ม หมวด; แท่ง+เส้น; ทุกวันจันทร์ 08:00</t>
        </is>
      </c>
      <c r="I435" s="5" t="inlineStr">
        <is>
          <t>toast "บันทึกรายงาน “ค่าซ่อมตามแผนก” แล้ว"; รายงานใหม่อยู่ในกลุ่ม กำหนดเอง พร้อมตัวอย่างคอลัมน์</t>
        </is>
      </c>
      <c r="J435" s="10" t="inlineStr">
        <is>
          <t>High</t>
        </is>
      </c>
      <c r="K435" s="5" t="inlineStr">
        <is>
          <t>ผู้จัดการซ่อมบำรุง (maint.mgr)</t>
        </is>
      </c>
      <c r="L435" s="5" t="n"/>
      <c r="M435" s="10" t="inlineStr">
        <is>
          <t>ยังไม่ทดสอบ</t>
        </is>
      </c>
      <c r="N435" s="5" t="n"/>
      <c r="O435" s="18" t="n"/>
      <c r="P435" s="5" t="n"/>
      <c r="Q435" s="5" t="inlineStr">
        <is>
          <t>ec06d085 + c388f6ca</t>
        </is>
      </c>
    </row>
    <row r="436" ht="47.5" customHeight="1">
      <c r="A436" s="10" t="inlineStr">
        <is>
          <t>UAT-RPT-011</t>
        </is>
      </c>
      <c r="B436" s="5" t="inlineStr">
        <is>
          <t>รายงาน &amp; KPI</t>
        </is>
      </c>
      <c r="C436" s="5" t="inlineStr">
        <is>
          <t>รายงาน &amp; KPI</t>
        </is>
      </c>
      <c r="D436" s="5" t="inlineStr">
        <is>
          <t>รายงานกำหนดเองไม่ตั้งชื่อ/ไม่เลือกคอลัมน์</t>
        </is>
      </c>
      <c r="E436" s="10" t="inlineStr">
        <is>
          <t>Validation</t>
        </is>
      </c>
      <c r="F436" s="5" t="inlineStr">
        <is>
          <t>เปิดฟอร์มรายงานกำหนดเอง</t>
        </is>
      </c>
      <c r="G436" s="5" t="inlineStr">
        <is>
          <t>1. เว้นว่างชื่อ
2. ยกเลิกทุกคอลัมน์
3. บันทึก</t>
        </is>
      </c>
      <c r="H436" s="5" t="inlineStr">
        <is>
          <t>-</t>
        </is>
      </c>
      <c r="I436" s="5" t="inlineStr">
        <is>
          <t>ไม่บันทึก แจ้งข้อผิดพลาด</t>
        </is>
      </c>
      <c r="J436" s="10" t="inlineStr">
        <is>
          <t>Medium</t>
        </is>
      </c>
      <c r="K436" s="5" t="inlineStr">
        <is>
          <t>ผู้จัดการซ่อมบำรุง (maint.mgr)</t>
        </is>
      </c>
      <c r="L436" s="5" t="n"/>
      <c r="M436" s="10" t="inlineStr">
        <is>
          <t>ยังไม่ทดสอบ</t>
        </is>
      </c>
      <c r="N436" s="5" t="n"/>
      <c r="O436" s="18" t="n"/>
      <c r="P436" s="5" t="n"/>
      <c r="Q436" s="5" t="inlineStr">
        <is>
          <t>ec06d085 + c388f6ca</t>
        </is>
      </c>
    </row>
    <row r="437" ht="33" customHeight="1">
      <c r="A437" s="10" t="inlineStr">
        <is>
          <t>UAT-RPT-012</t>
        </is>
      </c>
      <c r="B437" s="5" t="inlineStr">
        <is>
          <t>รายงาน &amp; KPI</t>
        </is>
      </c>
      <c r="C437" s="5" t="inlineStr">
        <is>
          <t>รายงาน &amp; KPI</t>
        </is>
      </c>
      <c r="D437" s="5" t="inlineStr">
        <is>
          <t>ใช้ฟิลด์เพิ่มเติม (Custom Field) ในรายงาน</t>
        </is>
      </c>
      <c r="E437" s="10" t="inlineStr">
        <is>
          <t>Functional</t>
        </is>
      </c>
      <c r="F437" s="5" t="inlineStr">
        <is>
          <t>มี custom field "แผนก", "Cost center" ใน WO</t>
        </is>
      </c>
      <c r="G437" s="5" t="inlineStr">
        <is>
          <t>1. สร้างรายงานกำหนดเองเลือกฟิลด์กำหนดเอง
2. แสดงผล</t>
        </is>
      </c>
      <c r="H437" s="5" t="inlineStr">
        <is>
          <t>-</t>
        </is>
      </c>
      <c r="I437" s="5" t="inlineStr">
        <is>
          <t>คอลัมน์ฟิลด์เพิ่มเติมแสดงค่าที่บันทึกใน WO และใช้จัดกลุ่มได้</t>
        </is>
      </c>
      <c r="J437" s="10" t="inlineStr">
        <is>
          <t>Medium</t>
        </is>
      </c>
      <c r="K437" s="5" t="inlineStr">
        <is>
          <t>ผู้จัดการซ่อมบำรุง (maint.mgr)</t>
        </is>
      </c>
      <c r="L437" s="5" t="n"/>
      <c r="M437" s="10" t="inlineStr">
        <is>
          <t>ยังไม่ทดสอบ</t>
        </is>
      </c>
      <c r="N437" s="5" t="n"/>
      <c r="O437" s="18" t="n"/>
      <c r="P437" s="5" t="n"/>
      <c r="Q437" s="5" t="inlineStr">
        <is>
          <t>ec06d085 + c388f6ca</t>
        </is>
      </c>
    </row>
    <row r="438" ht="33" customHeight="1">
      <c r="A438" s="10" t="inlineStr">
        <is>
          <t>UAT-RPT-013</t>
        </is>
      </c>
      <c r="B438" s="5" t="inlineStr">
        <is>
          <t>รายงาน &amp; KPI</t>
        </is>
      </c>
      <c r="C438" s="5" t="inlineStr">
        <is>
          <t>รายงาน &amp; KPI</t>
        </is>
      </c>
      <c r="D438" s="5" t="inlineStr">
        <is>
          <t>ตั้งเวลาส่งรายงานทางอีเมล</t>
        </is>
      </c>
      <c r="E438" s="10" t="inlineStr">
        <is>
          <t>Functional</t>
        </is>
      </c>
      <c r="F438" s="5" t="inlineStr">
        <is>
          <t>ตั้ง SMTP แล้ว; รายงานตั้ง "วันที่ 1 ของทุกเดือน"</t>
        </is>
      </c>
      <c r="G438" s="5" t="inlineStr">
        <is>
          <t>1. รอรอบเวลา/สั่ง cron</t>
        </is>
      </c>
      <c r="H438" s="5" t="inlineStr">
        <is>
          <t>-</t>
        </is>
      </c>
      <c r="I438" s="5" t="inlineStr">
        <is>
          <t>ผู้รับได้รับอีเมลพร้อมไฟล์แนบ</t>
        </is>
      </c>
      <c r="J438" s="10" t="inlineStr">
        <is>
          <t>Low</t>
        </is>
      </c>
      <c r="K438" s="5" t="inlineStr">
        <is>
          <t>ผู้จัดการซ่อมบำรุง (maint.mgr)</t>
        </is>
      </c>
      <c r="L438" s="5" t="n"/>
      <c r="M438" s="10" t="inlineStr">
        <is>
          <t>ยังไม่ทดสอบ</t>
        </is>
      </c>
      <c r="N438" s="5" t="n"/>
      <c r="O438" s="18" t="n"/>
      <c r="P438" s="5" t="n"/>
      <c r="Q438" s="5" t="inlineStr">
        <is>
          <t>ec06d085 + c388f6ca</t>
        </is>
      </c>
    </row>
    <row r="439" ht="18.5" customHeight="1">
      <c r="A439" s="10" t="inlineStr">
        <is>
          <t>UAT-RPT-014</t>
        </is>
      </c>
      <c r="B439" s="5" t="inlineStr">
        <is>
          <t>รายงาน &amp; KPI</t>
        </is>
      </c>
      <c r="C439" s="5" t="inlineStr">
        <is>
          <t>รายงาน &amp; KPI</t>
        </is>
      </c>
      <c r="D439" s="5" t="inlineStr">
        <is>
          <t>ผู้ตรวจสอบดูรายงานได้แต่ไม่สร้างรายงานกำหนดเอง</t>
        </is>
      </c>
      <c r="E439" s="10" t="inlineStr">
        <is>
          <t>Permission</t>
        </is>
      </c>
      <c r="F439" s="5" t="inlineStr">
        <is>
          <t>ล็อกอินเป็น auditor (ดูรายงาน)</t>
        </is>
      </c>
      <c r="G439" s="5" t="inlineStr">
        <is>
          <t>1. เปิดหน้ารายงาน</t>
        </is>
      </c>
      <c r="H439" s="5" t="inlineStr">
        <is>
          <t>-</t>
        </is>
      </c>
      <c r="I439" s="5" t="inlineStr">
        <is>
          <t>ดู/ส่งออกตามสิทธิ์; ไม่มีปุ่ม รายงานกำหนดเอง ถ้าไม่มีสิทธิ์</t>
        </is>
      </c>
      <c r="J439" s="10" t="inlineStr">
        <is>
          <t>Medium</t>
        </is>
      </c>
      <c r="K439" s="5" t="inlineStr">
        <is>
          <t>ผู้ตรวจสอบ (auditor)</t>
        </is>
      </c>
      <c r="L439" s="5" t="n"/>
      <c r="M439" s="10" t="inlineStr">
        <is>
          <t>ยังไม่ทดสอบ</t>
        </is>
      </c>
      <c r="N439" s="5" t="n"/>
      <c r="O439" s="18" t="n"/>
      <c r="P439" s="5" t="n"/>
      <c r="Q439" s="5" t="inlineStr">
        <is>
          <t>ec06d085 + c388f6ca</t>
        </is>
      </c>
    </row>
    <row r="440" ht="47.5" customHeight="1">
      <c r="A440" s="10" t="inlineStr">
        <is>
          <t>UAT-RPT-015</t>
        </is>
      </c>
      <c r="B440" s="5" t="inlineStr">
        <is>
          <t>รายงาน &amp; KPI</t>
        </is>
      </c>
      <c r="C440" s="5" t="inlineStr">
        <is>
          <t>รายงาน &amp; KPI</t>
        </is>
      </c>
      <c r="D440" s="5" t="inlineStr">
        <is>
          <t>ความสอดคล้องระหว่าง mockup 2 เวอร์ชัน</t>
        </is>
      </c>
      <c r="E440" s="10" t="inlineStr">
        <is>
          <t>UI</t>
        </is>
      </c>
      <c r="F440" s="5" t="inlineStr">
        <is>
          <t>-</t>
        </is>
      </c>
      <c r="G440" s="5" t="inlineStr">
        <is>
          <t>1. เปรียบเทียบ ec06d085 และ c388f6ca</t>
        </is>
      </c>
      <c r="H440" s="5" t="inlineStr">
        <is>
          <t>-</t>
        </is>
      </c>
      <c r="I440" s="5" t="inlineStr">
        <is>
          <t>ฟอร์มรายงานกำหนดเองใช้ตัวเลือกเดียวกัน (กราฟ, ตั้งเวลาส่ง ทุกวัน/ทุกจันทร์/วันที่ 1/สิ้นไตรมาส)</t>
        </is>
      </c>
      <c r="J440" s="10" t="inlineStr">
        <is>
          <t>Low</t>
        </is>
      </c>
      <c r="K440" s="5" t="inlineStr">
        <is>
          <t>ผู้ดูแลระบบสูงสุด (admin)</t>
        </is>
      </c>
      <c r="L440" s="5" t="n"/>
      <c r="M440" s="10" t="inlineStr">
        <is>
          <t>ยังไม่ทดสอบ</t>
        </is>
      </c>
      <c r="N440" s="5" t="n"/>
      <c r="O440" s="18" t="n"/>
      <c r="P440" s="5" t="inlineStr">
        <is>
          <t>c388f6ca ไม่มีตัวเลือกประเภทกราฟ; ตัวเลือกตั้งเวลาส่งต่างกัน — ต้องรวมให้เป็นชุดเดียว</t>
        </is>
      </c>
      <c r="Q440" s="5" t="inlineStr">
        <is>
          <t>ec06d085 + c388f6ca</t>
        </is>
      </c>
    </row>
    <row r="441" ht="33" customHeight="1">
      <c r="A441" s="10" t="inlineStr">
        <is>
          <t>UAT-RPT-016</t>
        </is>
      </c>
      <c r="B441" s="5" t="inlineStr">
        <is>
          <t>รายงาน &amp; KPI</t>
        </is>
      </c>
      <c r="C441" s="5" t="inlineStr">
        <is>
          <t>รายงาน &amp; KPI</t>
        </is>
      </c>
      <c r="D441" s="5" t="inlineStr">
        <is>
          <t>ค้นหาไม่พบข้อมูล (รายงาน &amp; KPI)</t>
        </is>
      </c>
      <c r="E441" s="10" t="inlineStr">
        <is>
          <t>Negative</t>
        </is>
      </c>
      <c r="F441" s="5" t="inlineStr">
        <is>
          <t>เข้าสู่ระบบแล้ว และอยู่ที่หน้ารายงาน &amp; KPI</t>
        </is>
      </c>
      <c r="G441" s="5" t="inlineStr">
        <is>
          <t>1. พิมพ์คำค้นที่ไม่มีอยู่จริงในช่อง "ค้นหาทรัพย์สิน ใบงาน อะไหล่…"
2. สังเกตตาราง/รายการ</t>
        </is>
      </c>
      <c r="H441" s="5" t="inlineStr">
        <is>
          <t>คำค้น: ZZZ-NOTFOUND-999</t>
        </is>
      </c>
      <c r="I441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441" s="10" t="inlineStr">
        <is>
          <t>Low</t>
        </is>
      </c>
      <c r="K441" s="5" t="inlineStr">
        <is>
          <t>ผู้บริหาร (exec)</t>
        </is>
      </c>
      <c r="L441" s="5" t="n"/>
      <c r="M441" s="10" t="inlineStr">
        <is>
          <t>ยังไม่ทดสอบ</t>
        </is>
      </c>
      <c r="N441" s="5" t="n"/>
      <c r="O441" s="18" t="n"/>
      <c r="P441" s="5" t="n"/>
      <c r="Q441" s="5" t="inlineStr">
        <is>
          <t>ec06d085 + c388f6ca</t>
        </is>
      </c>
    </row>
    <row r="442" ht="47.5" customHeight="1">
      <c r="A442" s="10" t="inlineStr">
        <is>
          <t>UAT-RPT-017</t>
        </is>
      </c>
      <c r="B442" s="5" t="inlineStr">
        <is>
          <t>รายงาน &amp; KPI</t>
        </is>
      </c>
      <c r="C442" s="5" t="inlineStr">
        <is>
          <t>รายงาน &amp; KPI</t>
        </is>
      </c>
      <c r="D442" s="5" t="inlineStr">
        <is>
          <t>ค้นหาด้วยคำค้นที่มีอยู่จริง (รายงาน &amp; KPI)</t>
        </is>
      </c>
      <c r="E442" s="10" t="inlineStr">
        <is>
          <t>Functional</t>
        </is>
      </c>
      <c r="F442" s="5" t="inlineStr">
        <is>
          <t>เข้าสู่ระบบแล้ว และอยู่ที่หน้ารายงาน &amp; KPI</t>
        </is>
      </c>
      <c r="G442" s="5" t="inlineStr">
        <is>
          <t>1. พิมพ์คำค้นในช่อง "ค้นหาทรัพย์สิน ใบงาน อะไหล่…"
2. ตรวจรายการที่แสดง
3. ล้างคำค้น</t>
        </is>
      </c>
      <c r="H442" s="5" t="inlineStr">
        <is>
          <t>คำค้น: CONV-03</t>
        </is>
      </c>
      <c r="I442" s="5" t="inlineStr">
        <is>
          <t>แสดงเฉพาะรายการที่ตรงกับคำค้น (แถว CONV-03 ในรายงาน Bad Actors); เมื่อล้างคำค้นรายการกลับมาครบ</t>
        </is>
      </c>
      <c r="J442" s="10" t="inlineStr">
        <is>
          <t>Medium</t>
        </is>
      </c>
      <c r="K442" s="5" t="inlineStr">
        <is>
          <t>ผู้บริหาร (exec)</t>
        </is>
      </c>
      <c r="L442" s="5" t="n"/>
      <c r="M442" s="10" t="inlineStr">
        <is>
          <t>ยังไม่ทดสอบ</t>
        </is>
      </c>
      <c r="N442" s="5" t="n"/>
      <c r="O442" s="18" t="n"/>
      <c r="P442" s="5" t="n"/>
      <c r="Q442" s="5" t="inlineStr">
        <is>
          <t>ec06d085 + c388f6ca</t>
        </is>
      </c>
    </row>
    <row r="443" ht="62" customHeight="1">
      <c r="A443" s="10" t="inlineStr">
        <is>
          <t>UAT-RPT-018</t>
        </is>
      </c>
      <c r="B443" s="5" t="inlineStr">
        <is>
          <t>รายงาน &amp; KPI</t>
        </is>
      </c>
      <c r="C443" s="5" t="inlineStr">
        <is>
          <t>รายงาน &amp; KPI</t>
        </is>
      </c>
      <c r="D443" s="5" t="inlineStr">
        <is>
          <t>แสดงผลบนมือถือ 375px (รายงาน &amp; KPI)</t>
        </is>
      </c>
      <c r="E443" s="10" t="inlineStr">
        <is>
          <t>Responsive</t>
        </is>
      </c>
      <c r="F443" s="5" t="inlineStr">
        <is>
          <t>เข้าสู่ระบบแล้ว; เปิด DevTools โหมดอุปกรณ์ iPhone SE/375×667</t>
        </is>
      </c>
      <c r="G443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43" s="5" t="inlineStr">
        <is>
          <t>ความกว้าง 375px</t>
        </is>
      </c>
      <c r="I443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43" s="10" t="inlineStr">
        <is>
          <t>Medium</t>
        </is>
      </c>
      <c r="K443" s="5" t="inlineStr">
        <is>
          <t>ผู้บริหาร (exec)</t>
        </is>
      </c>
      <c r="L443" s="5" t="n"/>
      <c r="M443" s="10" t="inlineStr">
        <is>
          <t>ยังไม่ทดสอบ</t>
        </is>
      </c>
      <c r="N443" s="5" t="n"/>
      <c r="O443" s="18" t="n"/>
      <c r="P443" s="5" t="n"/>
      <c r="Q443" s="5" t="inlineStr">
        <is>
          <t>ec06d085 + c388f6ca</t>
        </is>
      </c>
    </row>
    <row r="444" ht="62" customHeight="1">
      <c r="A444" s="10" t="inlineStr">
        <is>
          <t>UAT-RPT-019</t>
        </is>
      </c>
      <c r="B444" s="5" t="inlineStr">
        <is>
          <t>รายงาน &amp; KPI</t>
        </is>
      </c>
      <c r="C444" s="5" t="inlineStr">
        <is>
          <t>รายงาน &amp; KPI</t>
        </is>
      </c>
      <c r="D444" s="5" t="inlineStr">
        <is>
          <t>แสดงผลบน Desktop 1920px และความอ่านง่ายธีมมืด (รายงาน &amp; KPI)</t>
        </is>
      </c>
      <c r="E444" s="10" t="inlineStr">
        <is>
          <t>UI</t>
        </is>
      </c>
      <c r="F444" s="5" t="inlineStr">
        <is>
          <t>เข้าสู่ระบบแล้ว; หน้าจอ 1920×1080</t>
        </is>
      </c>
      <c r="G444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44" s="5" t="inlineStr">
        <is>
          <t>ความกว้าง 1920px</t>
        </is>
      </c>
      <c r="I444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44" s="10" t="inlineStr">
        <is>
          <t>Low</t>
        </is>
      </c>
      <c r="K444" s="5" t="inlineStr">
        <is>
          <t>ผู้บริหาร (exec)</t>
        </is>
      </c>
      <c r="L444" s="5" t="n"/>
      <c r="M444" s="10" t="inlineStr">
        <is>
          <t>ยังไม่ทดสอบ</t>
        </is>
      </c>
      <c r="N444" s="5" t="n"/>
      <c r="O444" s="18" t="n"/>
      <c r="P444" s="5" t="n"/>
      <c r="Q444" s="5" t="inlineStr">
        <is>
          <t>ec06d085 + c388f6ca</t>
        </is>
      </c>
    </row>
    <row r="445" ht="33" customHeight="1">
      <c r="A445" s="10" t="inlineStr">
        <is>
          <t>UAT-USR-001</t>
        </is>
      </c>
      <c r="B445" s="5" t="inlineStr">
        <is>
          <t>ผู้ใช้งาน &amp; บทบาทสิทธิ์ (RBAC)</t>
        </is>
      </c>
      <c r="C445" s="5" t="inlineStr">
        <is>
          <t>ผู้ใช้งาน</t>
        </is>
      </c>
      <c r="D445" s="5" t="inlineStr">
        <is>
          <t>รายการผู้ใช้และ KPI</t>
        </is>
      </c>
      <c r="E445" s="10" t="inlineStr">
        <is>
          <t>UI</t>
        </is>
      </c>
      <c r="F445" s="5" t="inlineStr">
        <is>
          <t>เข้าสู่ระบบแล้ว</t>
        </is>
      </c>
      <c r="G445" s="5" t="inlineStr">
        <is>
          <t>1. เปิดหน้าผู้ใช้งาน</t>
        </is>
      </c>
      <c r="H445" s="5" t="inlineStr">
        <is>
          <t>-</t>
        </is>
      </c>
      <c r="I445" s="5" t="inlineStr">
        <is>
          <t>แสดง 15 ผู้ใช้ คอลัมน์ ผู้ใช้, แผนก/ไซต์ · ตำแหน่ง, บทบาท, ขอบเขตข้อมูล, เข้าใช้ล่าสุด, สถานะ, การจัดการ</t>
        </is>
      </c>
      <c r="J445" s="10" t="inlineStr">
        <is>
          <t>Medium</t>
        </is>
      </c>
      <c r="K445" s="5" t="inlineStr">
        <is>
          <t>ผู้ดูแลระบบสูงสุด (admin)</t>
        </is>
      </c>
      <c r="L445" s="5" t="n"/>
      <c r="M445" s="10" t="inlineStr">
        <is>
          <t>ยังไม่ทดสอบ</t>
        </is>
      </c>
      <c r="N445" s="5" t="n"/>
      <c r="O445" s="18" t="n"/>
      <c r="P445" s="5" t="n"/>
      <c r="Q445" s="5" t="inlineStr">
        <is>
          <t>96b71cd7</t>
        </is>
      </c>
    </row>
    <row r="446" ht="33" customHeight="1">
      <c r="A446" s="10" t="inlineStr">
        <is>
          <t>UAT-USR-002</t>
        </is>
      </c>
      <c r="B446" s="5" t="inlineStr">
        <is>
          <t>ผู้ใช้งาน &amp; บทบาทสิทธิ์ (RBAC)</t>
        </is>
      </c>
      <c r="C446" s="5" t="inlineStr">
        <is>
          <t>ผู้ใช้งาน</t>
        </is>
      </c>
      <c r="D446" s="5" t="inlineStr">
        <is>
          <t>กรองตามบทบาทและสถานะ</t>
        </is>
      </c>
      <c r="E446" s="10" t="inlineStr">
        <is>
          <t>Functional</t>
        </is>
      </c>
      <c r="F446" s="5" t="inlineStr">
        <is>
          <t>เข้าสู่ระบบแล้ว</t>
        </is>
      </c>
      <c r="G446" s="5" t="inlineStr">
        <is>
          <t>1. บทบาท = ช่างซ่อมบำรุง
2. สถานะ = ใช้งาน</t>
        </is>
      </c>
      <c r="H446" s="5" t="inlineStr">
        <is>
          <t>-</t>
        </is>
      </c>
      <c r="I446" s="5" t="inlineStr">
        <is>
          <t>แสดง 5 คน (somchai, wichai, thanapol, anucha, preecha); ตัวเลือกบทบาท 11 บทบาท</t>
        </is>
      </c>
      <c r="J446" s="10" t="inlineStr">
        <is>
          <t>Medium</t>
        </is>
      </c>
      <c r="K446" s="5" t="inlineStr">
        <is>
          <t>ผู้ดูแลระบบสูงสุด (admin)</t>
        </is>
      </c>
      <c r="L446" s="5" t="n"/>
      <c r="M446" s="10" t="inlineStr">
        <is>
          <t>ยังไม่ทดสอบ</t>
        </is>
      </c>
      <c r="N446" s="5" t="n"/>
      <c r="O446" s="18" t="n"/>
      <c r="P446" s="5" t="n"/>
      <c r="Q446" s="5" t="inlineStr">
        <is>
          <t>96b71cd7</t>
        </is>
      </c>
    </row>
    <row r="447" ht="62" customHeight="1">
      <c r="A447" s="10" t="inlineStr">
        <is>
          <t>UAT-USR-003</t>
        </is>
      </c>
      <c r="B447" s="5" t="inlineStr">
        <is>
          <t>ผู้ใช้งาน &amp; บทบาทสิทธิ์ (RBAC)</t>
        </is>
      </c>
      <c r="C447" s="5" t="inlineStr">
        <is>
          <t>ผู้ใช้งาน</t>
        </is>
      </c>
      <c r="D447" s="5" t="inlineStr">
        <is>
          <t>เพิ่มผู้ใช้ (Happy path)</t>
        </is>
      </c>
      <c r="E447" s="10" t="inlineStr">
        <is>
          <t>Functional</t>
        </is>
      </c>
      <c r="F447" s="5" t="inlineStr">
        <is>
          <t>มีสิทธิ์ จัดการผู้ใช้/สิทธิ์</t>
        </is>
      </c>
      <c r="G447" s="5" t="inlineStr">
        <is>
          <t>1. คลิก "+ เพิ่มผู้ใช้"
2. กรอก ชื่อ-สกุล Username อีเมล รหัสพนักงาน แผนก ไซต์ ตำแหน่ง บทบาท ขอบเขตข้อมูล ผูก LINE/Telegram
3. บันทึก</t>
        </is>
      </c>
      <c r="H447" s="5" t="inlineStr">
        <is>
          <t>สมศรี ดีงาม; somsri; somsri@company.co.th; EMP-0456; ฝ่ายซ่อมบำรุง; โรงงานระยอง; ช่างไฟฟ้า; ช่างซ่อมบำรุง; ไซต์ของตน</t>
        </is>
      </c>
      <c r="I447" s="5" t="inlineStr">
        <is>
          <t>บันทึกสำเร็จ; ผู้ใช้ใหม่แสดง สถานะ ใช้งาน และ "รอเปลี่ยนรหัส"; ส่งอีเมลแจ้งรหัสชั่วคราว</t>
        </is>
      </c>
      <c r="J447" s="10" t="inlineStr">
        <is>
          <t>High</t>
        </is>
      </c>
      <c r="K447" s="5" t="inlineStr">
        <is>
          <t>ผู้ดูแลระบบสูงสุด (admin)</t>
        </is>
      </c>
      <c r="L447" s="5" t="n"/>
      <c r="M447" s="10" t="inlineStr">
        <is>
          <t>ยังไม่ทดสอบ</t>
        </is>
      </c>
      <c r="N447" s="5" t="n"/>
      <c r="O447" s="18" t="n"/>
      <c r="P447" s="5" t="n"/>
      <c r="Q447" s="5" t="inlineStr">
        <is>
          <t>96b71cd7</t>
        </is>
      </c>
    </row>
    <row r="448" ht="18.5" customHeight="1">
      <c r="A448" s="10" t="inlineStr">
        <is>
          <t>UAT-USR-004</t>
        </is>
      </c>
      <c r="B448" s="5" t="inlineStr">
        <is>
          <t>ผู้ใช้งาน &amp; บทบาทสิทธิ์ (RBAC)</t>
        </is>
      </c>
      <c r="C448" s="5" t="inlineStr">
        <is>
          <t>ผู้ใช้งาน</t>
        </is>
      </c>
      <c r="D448" s="5" t="inlineStr">
        <is>
          <t>เพิ่มผู้ใช้ Username/อีเมลซ้ำ</t>
        </is>
      </c>
      <c r="E448" s="10" t="inlineStr">
        <is>
          <t>Validation</t>
        </is>
      </c>
      <c r="F448" s="5" t="inlineStr">
        <is>
          <t>มี somchai อยู่แล้ว</t>
        </is>
      </c>
      <c r="G448" s="5" t="inlineStr">
        <is>
          <t>1. เพิ่มผู้ใช้ Username somchai</t>
        </is>
      </c>
      <c r="H448" s="5" t="inlineStr">
        <is>
          <t>-</t>
        </is>
      </c>
      <c r="I448" s="5" t="inlineStr">
        <is>
          <t>แจ้ง Username ซ้ำ ไม่บันทึก</t>
        </is>
      </c>
      <c r="J448" s="10" t="inlineStr">
        <is>
          <t>High</t>
        </is>
      </c>
      <c r="K448" s="5" t="inlineStr">
        <is>
          <t>ผู้ดูแลระบบสูงสุด (admin)</t>
        </is>
      </c>
      <c r="L448" s="5" t="n"/>
      <c r="M448" s="10" t="inlineStr">
        <is>
          <t>ยังไม่ทดสอบ</t>
        </is>
      </c>
      <c r="N448" s="5" t="n"/>
      <c r="O448" s="18" t="n"/>
      <c r="P448" s="5" t="n"/>
      <c r="Q448" s="5" t="inlineStr">
        <is>
          <t>96b71cd7</t>
        </is>
      </c>
    </row>
    <row r="449" ht="47.5" customHeight="1">
      <c r="A449" s="10" t="inlineStr">
        <is>
          <t>UAT-USR-005</t>
        </is>
      </c>
      <c r="B449" s="5" t="inlineStr">
        <is>
          <t>ผู้ใช้งาน &amp; บทบาทสิทธิ์ (RBAC)</t>
        </is>
      </c>
      <c r="C449" s="5" t="inlineStr">
        <is>
          <t>ผู้ใช้งาน</t>
        </is>
      </c>
      <c r="D449" s="5" t="inlineStr">
        <is>
          <t>เพิ่มผู้ใช้ อีเมลผิดรูปแบบ/ไม่กรอกฟิลด์บังคับ</t>
        </is>
      </c>
      <c r="E449" s="10" t="inlineStr">
        <is>
          <t>Validation</t>
        </is>
      </c>
      <c r="F449" s="5" t="inlineStr">
        <is>
          <t>เปิดฟอร์ม</t>
        </is>
      </c>
      <c r="G449" s="5" t="inlineStr">
        <is>
          <t>1. กรอกอีเมล somsri@
2. เว้นว่างชื่อ-สกุล
3. บันทึก</t>
        </is>
      </c>
      <c r="H449" s="5" t="inlineStr">
        <is>
          <t>-</t>
        </is>
      </c>
      <c r="I449" s="5" t="inlineStr">
        <is>
          <t>แจ้งข้อผิดพลาดแต่ละช่อง ไม่บันทึก</t>
        </is>
      </c>
      <c r="J449" s="10" t="inlineStr">
        <is>
          <t>High</t>
        </is>
      </c>
      <c r="K449" s="5" t="inlineStr">
        <is>
          <t>ผู้ดูแลระบบสูงสุด (admin)</t>
        </is>
      </c>
      <c r="L449" s="5" t="n"/>
      <c r="M449" s="10" t="inlineStr">
        <is>
          <t>ยังไม่ทดสอบ</t>
        </is>
      </c>
      <c r="N449" s="5" t="n"/>
      <c r="O449" s="18" t="n"/>
      <c r="P449" s="5" t="n"/>
      <c r="Q449" s="5" t="inlineStr">
        <is>
          <t>96b71cd7</t>
        </is>
      </c>
    </row>
    <row r="450" ht="76.5" customHeight="1">
      <c r="A450" s="10" t="inlineStr">
        <is>
          <t>UAT-USR-006</t>
        </is>
      </c>
      <c r="B450" s="5" t="inlineStr">
        <is>
          <t>ผู้ใช้งาน &amp; บทบาทสิทธิ์ (RBAC)</t>
        </is>
      </c>
      <c r="C450" s="5" t="inlineStr">
        <is>
          <t>ผู้ใช้งาน</t>
        </is>
      </c>
      <c r="D450" s="5" t="inlineStr">
        <is>
          <t>เพิ่มฟิลด์เพิ่มเติม (Custom Field) ในฟอร์มเพิ่มผู้ใช้</t>
        </is>
      </c>
      <c r="E450" s="10" t="inlineStr">
        <is>
          <t>Functional</t>
        </is>
      </c>
      <c r="F450" s="5" t="inlineStr">
        <is>
          <t>เข้าสู่ระบบแล้ว; เปิดฟอร์มเพิ่มผู้ใช้</t>
        </is>
      </c>
      <c r="G450" s="5" t="inlineStr">
        <is>
          <t>1. คลิกลิงก์ "+ เพิ่มฟิลด์" ในฟอร์ม
2. กรอกชื่อฟิลด์และค่า
3. กด "+ เพิ่มฟิลด์" อีกครั้งเพื่อเพิ่มฟิลด์ที่ 2
4. กรอกข้อมูลบังคับให้ครบแล้วกดบันทึก
5. เปิดรายการที่บันทึกเพื่อตรวจสอบ</t>
        </is>
      </c>
      <c r="H450" s="5" t="inlineStr">
        <is>
          <t>ชื่อฟิลด์: เลขที่สัญญา / ค่า: CT-2569-015; ชื่อฟิลด์: ผู้ติดต่อ / ค่า: คุณสมศักดิ์</t>
        </is>
      </c>
      <c r="I450" s="5" t="inlineStr">
        <is>
          <t>แสดงแถวฟิลด์เพิ่มเติมใหม่ทีละแถว (ลำดับ 1, 2); บันทึกสำเร็จพร้อม toast; ค่าฟิลด์เพิ่มเติมถูกเก็บและแสดงในรายละเอียดของรายการ</t>
        </is>
      </c>
      <c r="J450" s="10" t="inlineStr">
        <is>
          <t>Medium</t>
        </is>
      </c>
      <c r="K450" s="5" t="inlineStr">
        <is>
          <t>ผู้ดูแลระบบสูงสุด (admin)</t>
        </is>
      </c>
      <c r="L450" s="5" t="n"/>
      <c r="M450" s="10" t="inlineStr">
        <is>
          <t>ยังไม่ทดสอบ</t>
        </is>
      </c>
      <c r="N450" s="5" t="n"/>
      <c r="O450" s="18" t="n"/>
      <c r="P450" s="5" t="n"/>
      <c r="Q450" s="5" t="inlineStr">
        <is>
          <t>96b71cd7</t>
        </is>
      </c>
    </row>
    <row r="451" ht="47.5" customHeight="1">
      <c r="A451" s="10" t="inlineStr">
        <is>
          <t>UAT-USR-007</t>
        </is>
      </c>
      <c r="B451" s="5" t="inlineStr">
        <is>
          <t>ผู้ใช้งาน &amp; บทบาทสิทธิ์ (RBAC)</t>
        </is>
      </c>
      <c r="C451" s="5" t="inlineStr">
        <is>
          <t>ผู้ใช้งาน</t>
        </is>
      </c>
      <c r="D451" s="5" t="inlineStr">
        <is>
          <t>แก้ไขบทบาทและขอบเขตข้อมูล</t>
        </is>
      </c>
      <c r="E451" s="10" t="inlineStr">
        <is>
          <t>Functional</t>
        </is>
      </c>
      <c r="F451" s="5" t="inlineStr">
        <is>
          <t>มีผู้ใช้ somsri</t>
        </is>
      </c>
      <c r="G451" s="5" t="inlineStr">
        <is>
          <t>1. แก้ไข somsri เปลี่ยนขอบเขตเป็น ทั้งหมด
2. บันทึก
3. ล็อกอิน somsri</t>
        </is>
      </c>
      <c r="H451" s="5" t="inlineStr">
        <is>
          <t>-</t>
        </is>
      </c>
      <c r="I451" s="5" t="inlineStr">
        <is>
          <t>สิทธิ์มีผลทันทีในการล็อกอินครั้งถัดไป; Audit Log บันทึกการเปลี่ยนบทบาท</t>
        </is>
      </c>
      <c r="J451" s="10" t="inlineStr">
        <is>
          <t>High</t>
        </is>
      </c>
      <c r="K451" s="5" t="inlineStr">
        <is>
          <t>ผู้ดูแลระบบสูงสุด (admin)</t>
        </is>
      </c>
      <c r="L451" s="5" t="n"/>
      <c r="M451" s="10" t="inlineStr">
        <is>
          <t>ยังไม่ทดสอบ</t>
        </is>
      </c>
      <c r="N451" s="5" t="n"/>
      <c r="O451" s="18" t="n"/>
      <c r="P451" s="5" t="n"/>
      <c r="Q451" s="5" t="inlineStr">
        <is>
          <t>96b71cd7</t>
        </is>
      </c>
    </row>
    <row r="452" ht="33" customHeight="1">
      <c r="A452" s="10" t="inlineStr">
        <is>
          <t>UAT-USR-008</t>
        </is>
      </c>
      <c r="B452" s="5" t="inlineStr">
        <is>
          <t>ผู้ใช้งาน &amp; บทบาทสิทธิ์ (RBAC)</t>
        </is>
      </c>
      <c r="C452" s="5" t="inlineStr">
        <is>
          <t>ผู้ใช้งาน</t>
        </is>
      </c>
      <c r="D452" s="5" t="inlineStr">
        <is>
          <t>รีเซ็ตรหัสผ่าน</t>
        </is>
      </c>
      <c r="E452" s="10" t="inlineStr">
        <is>
          <t>Functional</t>
        </is>
      </c>
      <c r="F452" s="5" t="inlineStr">
        <is>
          <t>มีผู้ใช้ somsri</t>
        </is>
      </c>
      <c r="G452" s="5" t="inlineStr">
        <is>
          <t>1. คลิก รีเซ็ตรหัสผ่าน ยืนยัน</t>
        </is>
      </c>
      <c r="H452" s="5" t="inlineStr">
        <is>
          <t>-</t>
        </is>
      </c>
      <c r="I452" s="5" t="inlineStr">
        <is>
          <t>ผู้ใช้สถานะ "รอเปลี่ยนรหัส" และได้รับอีเมล/รหัสชั่วคราว; ต้องเปลี่ยนรหัสเมื่อล็อกอิน</t>
        </is>
      </c>
      <c r="J452" s="10" t="inlineStr">
        <is>
          <t>Medium</t>
        </is>
      </c>
      <c r="K452" s="5" t="inlineStr">
        <is>
          <t>ผู้ดูแลระบบสูงสุด (admin)</t>
        </is>
      </c>
      <c r="L452" s="5" t="n"/>
      <c r="M452" s="10" t="inlineStr">
        <is>
          <t>ยังไม่ทดสอบ</t>
        </is>
      </c>
      <c r="N452" s="5" t="n"/>
      <c r="O452" s="18" t="n"/>
      <c r="P452" s="5" t="n"/>
      <c r="Q452" s="5" t="inlineStr">
        <is>
          <t>96b71cd7</t>
        </is>
      </c>
    </row>
    <row r="453" ht="33" customHeight="1">
      <c r="A453" s="10" t="inlineStr">
        <is>
          <t>UAT-USR-009</t>
        </is>
      </c>
      <c r="B453" s="5" t="inlineStr">
        <is>
          <t>ผู้ใช้งาน &amp; บทบาทสิทธิ์ (RBAC)</t>
        </is>
      </c>
      <c r="C453" s="5" t="inlineStr">
        <is>
          <t>ผู้ใช้งาน</t>
        </is>
      </c>
      <c r="D453" s="5" t="inlineStr">
        <is>
          <t>ระงับผู้ใช้</t>
        </is>
      </c>
      <c r="E453" s="10" t="inlineStr">
        <is>
          <t>Functional</t>
        </is>
      </c>
      <c r="F453" s="5" t="inlineStr">
        <is>
          <t>มีผู้ใช้ somsri</t>
        </is>
      </c>
      <c r="G453" s="5" t="inlineStr">
        <is>
          <t>1. คลิก ระงับ
2. somsri พยายามล็อกอิน</t>
        </is>
      </c>
      <c r="H453" s="5" t="inlineStr">
        <is>
          <t>-</t>
        </is>
      </c>
      <c r="I453" s="5" t="inlineStr">
        <is>
          <t>สถานะ ระงับ; ล็อกอินไม่ได้; token API ของผู้ใช้ถูกปิด</t>
        </is>
      </c>
      <c r="J453" s="10" t="inlineStr">
        <is>
          <t>High</t>
        </is>
      </c>
      <c r="K453" s="5" t="inlineStr">
        <is>
          <t>ผู้ดูแลระบบสูงสุด (admin)</t>
        </is>
      </c>
      <c r="L453" s="5" t="n"/>
      <c r="M453" s="10" t="inlineStr">
        <is>
          <t>ยังไม่ทดสอบ</t>
        </is>
      </c>
      <c r="N453" s="5" t="n"/>
      <c r="O453" s="18" t="n"/>
      <c r="P453" s="5" t="n"/>
      <c r="Q453" s="5" t="inlineStr">
        <is>
          <t>96b71cd7</t>
        </is>
      </c>
    </row>
    <row r="454" ht="18.5" customHeight="1">
      <c r="A454" s="10" t="inlineStr">
        <is>
          <t>UAT-USR-010</t>
        </is>
      </c>
      <c r="B454" s="5" t="inlineStr">
        <is>
          <t>ผู้ใช้งาน &amp; บทบาทสิทธิ์ (RBAC)</t>
        </is>
      </c>
      <c r="C454" s="5" t="inlineStr">
        <is>
          <t>ผู้ใช้งาน</t>
        </is>
      </c>
      <c r="D454" s="5" t="inlineStr">
        <is>
          <t>ระงับบัญชี admin ไม่ได้</t>
        </is>
      </c>
      <c r="E454" s="10" t="inlineStr">
        <is>
          <t>Negative</t>
        </is>
      </c>
      <c r="F454" s="5" t="inlineStr">
        <is>
          <t>เข้าสู่ระบบแล้ว</t>
        </is>
      </c>
      <c r="G454" s="5" t="inlineStr">
        <is>
          <t>1. ตรวจปุ่มระงับที่แถว admin</t>
        </is>
      </c>
      <c r="H454" s="5" t="inlineStr">
        <is>
          <t>-</t>
        </is>
      </c>
      <c r="I454" s="5" t="inlineStr">
        <is>
          <t>ปุ่มระงับของ admin ถูกปิดใช้งาน</t>
        </is>
      </c>
      <c r="J454" s="10" t="inlineStr">
        <is>
          <t>Medium</t>
        </is>
      </c>
      <c r="K454" s="5" t="inlineStr">
        <is>
          <t>ผู้ดูแลระบบสูงสุด (admin)</t>
        </is>
      </c>
      <c r="L454" s="5" t="n"/>
      <c r="M454" s="10" t="inlineStr">
        <is>
          <t>ยังไม่ทดสอบ</t>
        </is>
      </c>
      <c r="N454" s="5" t="n"/>
      <c r="O454" s="18" t="n"/>
      <c r="P454" s="5" t="n"/>
      <c r="Q454" s="5" t="inlineStr">
        <is>
          <t>96b71cd7</t>
        </is>
      </c>
    </row>
    <row r="455" ht="62" customHeight="1">
      <c r="A455" s="10" t="inlineStr">
        <is>
          <t>UAT-USR-011</t>
        </is>
      </c>
      <c r="B455" s="5" t="inlineStr">
        <is>
          <t>ผู้ใช้งาน &amp; บทบาทสิทธิ์ (RBAC)</t>
        </is>
      </c>
      <c r="C455" s="5" t="inlineStr">
        <is>
          <t>บทบาท &amp; สิทธิ์ (RBAC)</t>
        </is>
      </c>
      <c r="D455" s="5" t="inlineStr">
        <is>
          <t>รายการบทบาท 11 บทบาทและคำอธิบาย</t>
        </is>
      </c>
      <c r="E455" s="10" t="inlineStr">
        <is>
          <t>UI</t>
        </is>
      </c>
      <c r="F455" s="5" t="inlineStr">
        <is>
          <t>เข้าสู่ระบบแล้ว</t>
        </is>
      </c>
      <c r="G455" s="5" t="inlineStr">
        <is>
          <t>1. คลิกแท็บ บทบาท &amp; สิทธิ์ (RBAC)</t>
        </is>
      </c>
      <c r="H455" s="5" t="inlineStr">
        <is>
          <t>-</t>
        </is>
      </c>
      <c r="I455" s="5" t="inlineStr">
        <is>
          <t>แสดงบทบาท ผู้ดูแลระบบสูงสุด, ผู้จัดการทรัพย์สิน, บัญชีสินทรัพย์, ผู้ดูแลระบบ IT, ผู้จัดการซ่อมบำรุง, ช่างซ่อมบำรุง, เจ้าหน้าที่คลัง, เจ้าหน้าที่จัดซื้อ, ผู้ตรวจสอบ, ผู้แจ้งซ่อม/ผู้ใช้งานทั่วไป, ผู้บริหาร พร้อมคำอธิบายและจำนวนผู้ใช้</t>
        </is>
      </c>
      <c r="J455" s="10" t="inlineStr">
        <is>
          <t>Medium</t>
        </is>
      </c>
      <c r="K455" s="5" t="inlineStr">
        <is>
          <t>ผู้ดูแลระบบสูงสุด (admin)</t>
        </is>
      </c>
      <c r="L455" s="5" t="n"/>
      <c r="M455" s="10" t="inlineStr">
        <is>
          <t>ยังไม่ทดสอบ</t>
        </is>
      </c>
      <c r="N455" s="5" t="n"/>
      <c r="O455" s="18" t="n"/>
      <c r="P455" s="5" t="n"/>
      <c r="Q455" s="5" t="inlineStr">
        <is>
          <t>96b71cd7</t>
        </is>
      </c>
    </row>
    <row r="456" ht="62" customHeight="1">
      <c r="A456" s="10" t="inlineStr">
        <is>
          <t>UAT-USR-012</t>
        </is>
      </c>
      <c r="B456" s="5" t="inlineStr">
        <is>
          <t>ผู้ใช้งาน &amp; บทบาทสิทธิ์ (RBAC)</t>
        </is>
      </c>
      <c r="C456" s="5" t="inlineStr">
        <is>
          <t>บทบาท &amp; สิทธิ์ (RBAC)</t>
        </is>
      </c>
      <c r="D456" s="5" t="inlineStr">
        <is>
          <t>สร้างบทบาทใหม่และกำหนดสิทธิ์รายโมดูล</t>
        </is>
      </c>
      <c r="E456" s="10" t="inlineStr">
        <is>
          <t>Functional</t>
        </is>
      </c>
      <c r="F456" s="5" t="inlineStr">
        <is>
          <t>เข้าสู่ระบบแล้ว</t>
        </is>
      </c>
      <c r="G456" s="5" t="inlineStr">
        <is>
          <t>1. คลิก "+ สร้างบทบาท"
2. ตั้งชื่อ/คำอธิบาย
3. ติ๊กสิทธิ์ ใบสั่งงาน: ดู/อัปเดต และ คลังอะไหล่: ดู
4. กด "บันทึกสิทธิ์"</t>
        </is>
      </c>
      <c r="H456" s="5" t="inlineStr">
        <is>
          <t>ชื่อ: ช่างผู้รับเหมา</t>
        </is>
      </c>
      <c r="I456" s="5" t="inlineStr">
        <is>
          <t>toast "บันทึก n สิทธิ์ ให้บทบาท ช่างผู้รับเหมา"; บทบาทใหม่อยู่ในรายการและเลือกได้ในฟอร์มผู้ใช้</t>
        </is>
      </c>
      <c r="J456" s="10" t="inlineStr">
        <is>
          <t>High</t>
        </is>
      </c>
      <c r="K456" s="5" t="inlineStr">
        <is>
          <t>ผู้ดูแลระบบสูงสุด (admin)</t>
        </is>
      </c>
      <c r="L456" s="5" t="n"/>
      <c r="M456" s="10" t="inlineStr">
        <is>
          <t>ยังไม่ทดสอบ</t>
        </is>
      </c>
      <c r="N456" s="5" t="n"/>
      <c r="O456" s="18" t="n"/>
      <c r="P456" s="5" t="n"/>
      <c r="Q456" s="5" t="inlineStr">
        <is>
          <t>96b71cd7</t>
        </is>
      </c>
    </row>
    <row r="457" ht="47.5" customHeight="1">
      <c r="A457" s="10" t="inlineStr">
        <is>
          <t>UAT-USR-013</t>
        </is>
      </c>
      <c r="B457" s="5" t="inlineStr">
        <is>
          <t>ผู้ใช้งาน &amp; บทบาทสิทธิ์ (RBAC)</t>
        </is>
      </c>
      <c r="C457" s="5" t="inlineStr">
        <is>
          <t>บทบาท &amp; สิทธิ์ (RBAC)</t>
        </is>
      </c>
      <c r="D457" s="5" t="inlineStr">
        <is>
          <t>ปุ่ม เลือกทั้งหมด / ล้าง และ checkbox หัวกลุ่ม</t>
        </is>
      </c>
      <c r="E457" s="10" t="inlineStr">
        <is>
          <t>Functional</t>
        </is>
      </c>
      <c r="F457" s="5" t="inlineStr">
        <is>
          <t>เลือกบทบาท</t>
        </is>
      </c>
      <c r="G457" s="5" t="inlineStr">
        <is>
          <t>1. คลิก เลือกทั้งหมด
2. คลิก ล้าง
3. ติ๊ก checkbox หัวกลุ่ม ใบสั่งงาน</t>
        </is>
      </c>
      <c r="H457" s="5" t="inlineStr">
        <is>
          <t>-</t>
        </is>
      </c>
      <c r="I457" s="5" t="inlineStr">
        <is>
          <t>สิทธิ์ทั้งหมดถูกติ๊ก/ล้าง; หัวกลุ่มติ๊กสิทธิ์ย่อยทั้งหมดในกลุ่ม; ตัวนับสิทธิ์อัปเดต</t>
        </is>
      </c>
      <c r="J457" s="10" t="inlineStr">
        <is>
          <t>Medium</t>
        </is>
      </c>
      <c r="K457" s="5" t="inlineStr">
        <is>
          <t>ผู้ดูแลระบบสูงสุด (admin)</t>
        </is>
      </c>
      <c r="L457" s="5" t="n"/>
      <c r="M457" s="10" t="inlineStr">
        <is>
          <t>ยังไม่ทดสอบ</t>
        </is>
      </c>
      <c r="N457" s="5" t="n"/>
      <c r="O457" s="18" t="n"/>
      <c r="P457" s="5" t="n"/>
      <c r="Q457" s="5" t="inlineStr">
        <is>
          <t>96b71cd7</t>
        </is>
      </c>
    </row>
    <row r="458" ht="33" customHeight="1">
      <c r="A458" s="10" t="inlineStr">
        <is>
          <t>UAT-USR-014</t>
        </is>
      </c>
      <c r="B458" s="5" t="inlineStr">
        <is>
          <t>ผู้ใช้งาน &amp; บทบาทสิทธิ์ (RBAC)</t>
        </is>
      </c>
      <c r="C458" s="5" t="inlineStr">
        <is>
          <t>บทบาท &amp; สิทธิ์ (RBAC)</t>
        </is>
      </c>
      <c r="D458" s="5" t="inlineStr">
        <is>
          <t>สิทธิ์มีผลจริง: ถอดสิทธิ์ "ปิดงาน" จากช่าง</t>
        </is>
      </c>
      <c r="E458" s="10" t="inlineStr">
        <is>
          <t>Permission</t>
        </is>
      </c>
      <c r="F458" s="5" t="inlineStr">
        <is>
          <t>บทบาทช่างมีสิทธิ์ปิดงาน</t>
        </is>
      </c>
      <c r="G458" s="5" t="inlineStr">
        <is>
          <t>1. ถอดสิทธิ์ ปิดงาน บันทึก
2. ล็อกอิน somchai เปิด WO ของตน</t>
        </is>
      </c>
      <c r="H458" s="5" t="inlineStr">
        <is>
          <t>-</t>
        </is>
      </c>
      <c r="I458" s="5" t="inlineStr">
        <is>
          <t>ไม่มีปุ่ม "ปิดงาน"; เรียก API ปิดงานได้ 403</t>
        </is>
      </c>
      <c r="J458" s="10" t="inlineStr">
        <is>
          <t>High</t>
        </is>
      </c>
      <c r="K458" s="5" t="inlineStr">
        <is>
          <t>ช่างซ่อมบำรุง (somchai)</t>
        </is>
      </c>
      <c r="L458" s="5" t="n"/>
      <c r="M458" s="10" t="inlineStr">
        <is>
          <t>ยังไม่ทดสอบ</t>
        </is>
      </c>
      <c r="N458" s="5" t="n"/>
      <c r="O458" s="18" t="n"/>
      <c r="P458" s="5" t="n"/>
      <c r="Q458" s="5" t="inlineStr">
        <is>
          <t>96b71cd7</t>
        </is>
      </c>
    </row>
    <row r="459" ht="18.5" customHeight="1">
      <c r="A459" s="10" t="inlineStr">
        <is>
          <t>UAT-USR-015</t>
        </is>
      </c>
      <c r="B459" s="5" t="inlineStr">
        <is>
          <t>ผู้ใช้งาน &amp; บทบาทสิทธิ์ (RBAC)</t>
        </is>
      </c>
      <c r="C459" s="5" t="inlineStr">
        <is>
          <t>บทบาท &amp; สิทธิ์ (RBAC)</t>
        </is>
      </c>
      <c r="D459" s="5" t="inlineStr">
        <is>
          <t>ผู้ตรวจสอบ: อ่านอย่างเดียวทุกโมดูล + Audit Log</t>
        </is>
      </c>
      <c r="E459" s="10" t="inlineStr">
        <is>
          <t>Permission</t>
        </is>
      </c>
      <c r="F459" s="5" t="inlineStr">
        <is>
          <t>ล็อกอิน auditor</t>
        </is>
      </c>
      <c r="G459" s="5" t="inlineStr">
        <is>
          <t>1. เปิดทะเบียน, WO, จัดซื้อ, Audit Log</t>
        </is>
      </c>
      <c r="H459" s="5" t="inlineStr">
        <is>
          <t>-</t>
        </is>
      </c>
      <c r="I459" s="5" t="inlineStr">
        <is>
          <t>ดูได้ทุกหน้า ไม่มีปุ่มสร้าง/แก้ไข/ลบ/อนุมัติ; เปิด Audit Log ได้</t>
        </is>
      </c>
      <c r="J459" s="10" t="inlineStr">
        <is>
          <t>High</t>
        </is>
      </c>
      <c r="K459" s="5" t="inlineStr">
        <is>
          <t>ผู้ตรวจสอบ (auditor)</t>
        </is>
      </c>
      <c r="L459" s="5" t="n"/>
      <c r="M459" s="10" t="inlineStr">
        <is>
          <t>ยังไม่ทดสอบ</t>
        </is>
      </c>
      <c r="N459" s="5" t="n"/>
      <c r="O459" s="18" t="n"/>
      <c r="P459" s="5" t="n"/>
      <c r="Q459" s="5" t="inlineStr">
        <is>
          <t>96b71cd7</t>
        </is>
      </c>
    </row>
    <row r="460" ht="33" customHeight="1">
      <c r="A460" s="10" t="inlineStr">
        <is>
          <t>UAT-USR-016</t>
        </is>
      </c>
      <c r="B460" s="5" t="inlineStr">
        <is>
          <t>ผู้ใช้งาน &amp; บทบาทสิทธิ์ (RBAC)</t>
        </is>
      </c>
      <c r="C460" s="5" t="inlineStr">
        <is>
          <t>บทบาท &amp; สิทธิ์ (RBAC)</t>
        </is>
      </c>
      <c r="D460" s="5" t="inlineStr">
        <is>
          <t>ผู้แจ้งซ่อม: เฉพาะแจ้งซ่อมและทรัพย์สินที่ถือครอง</t>
        </is>
      </c>
      <c r="E460" s="10" t="inlineStr">
        <is>
          <t>Permission</t>
        </is>
      </c>
      <c r="F460" s="5" t="inlineStr">
        <is>
          <t>ล็อกอิน user</t>
        </is>
      </c>
      <c r="G460" s="5" t="inlineStr">
        <is>
          <t>1. ตรวจ sidebar
2. เปิดทะเบียนทรัพย์สิน</t>
        </is>
      </c>
      <c r="H460" s="5" t="inlineStr">
        <is>
          <t>-</t>
        </is>
      </c>
      <c r="I460" s="5" t="inlineStr">
        <is>
          <t>เห็นเมนูเฉพาะที่มีสิทธิ์ (แจ้งซ่อม, ทรัพย์สินที่ถือครอง); ข้อมูลจำกัดตามขอบเขต</t>
        </is>
      </c>
      <c r="J460" s="10" t="inlineStr">
        <is>
          <t>High</t>
        </is>
      </c>
      <c r="K460" s="5" t="inlineStr">
        <is>
          <t>ผู้แจ้งซ่อม/ผู้ใช้งานทั่วไป (user)</t>
        </is>
      </c>
      <c r="L460" s="5" t="n"/>
      <c r="M460" s="10" t="inlineStr">
        <is>
          <t>ยังไม่ทดสอบ</t>
        </is>
      </c>
      <c r="N460" s="5" t="n"/>
      <c r="O460" s="18" t="n"/>
      <c r="P460" s="5" t="n"/>
      <c r="Q460" s="5" t="inlineStr">
        <is>
          <t>96b71cd7</t>
        </is>
      </c>
    </row>
    <row r="461" ht="18.5" customHeight="1">
      <c r="A461" s="10" t="inlineStr">
        <is>
          <t>UAT-USR-017</t>
        </is>
      </c>
      <c r="B461" s="5" t="inlineStr">
        <is>
          <t>ผู้ใช้งาน &amp; บทบาทสิทธิ์ (RBAC)</t>
        </is>
      </c>
      <c r="C461" s="5" t="inlineStr">
        <is>
          <t>บทบาท &amp; สิทธิ์ (RBAC)</t>
        </is>
      </c>
      <c r="D461" s="5" t="inlineStr">
        <is>
          <t>ขอบเขต "ไซต์ของตน"</t>
        </is>
      </c>
      <c r="E461" s="10" t="inlineStr">
        <is>
          <t>Permission</t>
        </is>
      </c>
      <c r="F461" s="5" t="inlineStr">
        <is>
          <t>ล็อกอิน maint.mgr (ไซต์สมุทรสาคร)</t>
        </is>
      </c>
      <c r="G461" s="5" t="inlineStr">
        <is>
          <t>1. เปิด WO และเลือกไซต์ระยอง</t>
        </is>
      </c>
      <c r="H461" s="5" t="inlineStr">
        <is>
          <t>-</t>
        </is>
      </c>
      <c r="I461" s="5" t="inlineStr">
        <is>
          <t>ไม่เห็นข้อมูลไซต์ระยอง หรือ dropdown ไซต์จำกัดเฉพาะไซต์ตน</t>
        </is>
      </c>
      <c r="J461" s="10" t="inlineStr">
        <is>
          <t>High</t>
        </is>
      </c>
      <c r="K461" s="5" t="inlineStr">
        <is>
          <t>ผู้จัดการซ่อมบำรุง (maint.mgr)</t>
        </is>
      </c>
      <c r="L461" s="5" t="n"/>
      <c r="M461" s="10" t="inlineStr">
        <is>
          <t>ยังไม่ทดสอบ</t>
        </is>
      </c>
      <c r="N461" s="5" t="n"/>
      <c r="O461" s="18" t="n"/>
      <c r="P461" s="5" t="n"/>
      <c r="Q461" s="5" t="inlineStr">
        <is>
          <t>96b71cd7</t>
        </is>
      </c>
    </row>
    <row r="462" ht="18.5" customHeight="1">
      <c r="A462" s="10" t="inlineStr">
        <is>
          <t>UAT-USR-018</t>
        </is>
      </c>
      <c r="B462" s="5" t="inlineStr">
        <is>
          <t>ผู้ใช้งาน &amp; บทบาทสิทธิ์ (RBAC)</t>
        </is>
      </c>
      <c r="C462" s="5" t="inlineStr">
        <is>
          <t>บทบาท &amp; สิทธิ์ (RBAC)</t>
        </is>
      </c>
      <c r="D462" s="5" t="inlineStr">
        <is>
          <t>ผู้ไม่ใช่ผู้ดูแลเปิดหน้าสิทธิ์ไม่ได้</t>
        </is>
      </c>
      <c r="E462" s="10" t="inlineStr">
        <is>
          <t>Permission</t>
        </is>
      </c>
      <c r="F462" s="5" t="inlineStr">
        <is>
          <t>ล็อกอิน asset.mgr</t>
        </is>
      </c>
      <c r="G462" s="5" t="inlineStr">
        <is>
          <t>1. เปิด URL บทบาท &amp; สิทธิ์</t>
        </is>
      </c>
      <c r="H462" s="5" t="inlineStr">
        <is>
          <t>-</t>
        </is>
      </c>
      <c r="I462" s="5" t="inlineStr">
        <is>
          <t>ถูกปฏิเสธ</t>
        </is>
      </c>
      <c r="J462" s="10" t="inlineStr">
        <is>
          <t>High</t>
        </is>
      </c>
      <c r="K462" s="5" t="inlineStr">
        <is>
          <t>ผู้จัดการทรัพย์สิน (asset.mgr)</t>
        </is>
      </c>
      <c r="L462" s="5" t="n"/>
      <c r="M462" s="10" t="inlineStr">
        <is>
          <t>ยังไม่ทดสอบ</t>
        </is>
      </c>
      <c r="N462" s="5" t="n"/>
      <c r="O462" s="18" t="n"/>
      <c r="P462" s="5" t="n"/>
      <c r="Q462" s="5" t="inlineStr">
        <is>
          <t>96b71cd7</t>
        </is>
      </c>
    </row>
    <row r="463" ht="18.5" customHeight="1">
      <c r="A463" s="10" t="inlineStr">
        <is>
          <t>UAT-USR-019</t>
        </is>
      </c>
      <c r="B463" s="5" t="inlineStr">
        <is>
          <t>ผู้ใช้งาน &amp; บทบาทสิทธิ์ (RBAC)</t>
        </is>
      </c>
      <c r="C463" s="5" t="inlineStr">
        <is>
          <t>บทบาท &amp; สิทธิ์ (RBAC)</t>
        </is>
      </c>
      <c r="D463" s="5" t="inlineStr">
        <is>
          <t>บันทึกการเปลี่ยนสิทธิ์ลง Audit Log</t>
        </is>
      </c>
      <c r="E463" s="10" t="inlineStr">
        <is>
          <t>Functional</t>
        </is>
      </c>
      <c r="F463" s="5" t="inlineStr">
        <is>
          <t>แก้สิทธิ์บทบาทแล้ว</t>
        </is>
      </c>
      <c r="G463" s="5" t="inlineStr">
        <is>
          <t>1. เปิด Audit Log module = roles</t>
        </is>
      </c>
      <c r="H463" s="5" t="inlineStr">
        <is>
          <t>-</t>
        </is>
      </c>
      <c r="I463" s="5" t="inlineStr">
        <is>
          <t>มีรายการ update พร้อมรายละเอียดสิทธิ์ที่เพิ่ม/ลบ</t>
        </is>
      </c>
      <c r="J463" s="10" t="inlineStr">
        <is>
          <t>Medium</t>
        </is>
      </c>
      <c r="K463" s="5" t="inlineStr">
        <is>
          <t>ผู้ตรวจสอบ (auditor)</t>
        </is>
      </c>
      <c r="L463" s="5" t="n"/>
      <c r="M463" s="10" t="inlineStr">
        <is>
          <t>ยังไม่ทดสอบ</t>
        </is>
      </c>
      <c r="N463" s="5" t="n"/>
      <c r="O463" s="18" t="n"/>
      <c r="P463" s="5" t="n"/>
      <c r="Q463" s="5" t="inlineStr">
        <is>
          <t>96b71cd7</t>
        </is>
      </c>
    </row>
    <row r="464" ht="47.5" customHeight="1">
      <c r="A464" s="10" t="inlineStr">
        <is>
          <t>UAT-USR-020</t>
        </is>
      </c>
      <c r="B464" s="5" t="inlineStr">
        <is>
          <t>ผู้ใช้งาน &amp; บทบาทสิทธิ์ (RBAC)</t>
        </is>
      </c>
      <c r="C464" s="5" t="inlineStr">
        <is>
          <t>ผู้ใช้งาน</t>
        </is>
      </c>
      <c r="D464" s="5" t="inlineStr">
        <is>
          <t>ค้นหาไม่พบข้อมูล (ผู้ใช้งาน)</t>
        </is>
      </c>
      <c r="E464" s="10" t="inlineStr">
        <is>
          <t>Negative</t>
        </is>
      </c>
      <c r="F464" s="5" t="inlineStr">
        <is>
          <t>เข้าสู่ระบบแล้ว และอยู่ที่หน้าผู้ใช้งาน</t>
        </is>
      </c>
      <c r="G464" s="5" t="inlineStr">
        <is>
          <t>1. พิมพ์คำค้นที่ไม่มีอยู่จริงในช่อง "ค้นหา ชื่อผู้ใช้ / ชื่อ / อีเมล / รหัสพนักงาน"
2. สังเกตตาราง/รายการ</t>
        </is>
      </c>
      <c r="H464" s="5" t="inlineStr">
        <is>
          <t>คำค้น: ZZZ-NOTFOUND-999</t>
        </is>
      </c>
      <c r="I464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464" s="10" t="inlineStr">
        <is>
          <t>Low</t>
        </is>
      </c>
      <c r="K464" s="5" t="inlineStr">
        <is>
          <t>ผู้ดูแลระบบสูงสุด (admin)</t>
        </is>
      </c>
      <c r="L464" s="5" t="n"/>
      <c r="M464" s="10" t="inlineStr">
        <is>
          <t>ยังไม่ทดสอบ</t>
        </is>
      </c>
      <c r="N464" s="5" t="n"/>
      <c r="O464" s="18" t="n"/>
      <c r="P464" s="5" t="n"/>
      <c r="Q464" s="5" t="inlineStr">
        <is>
          <t>96b71cd7</t>
        </is>
      </c>
    </row>
    <row r="465" ht="47.5" customHeight="1">
      <c r="A465" s="10" t="inlineStr">
        <is>
          <t>UAT-USR-021</t>
        </is>
      </c>
      <c r="B465" s="5" t="inlineStr">
        <is>
          <t>ผู้ใช้งาน &amp; บทบาทสิทธิ์ (RBAC)</t>
        </is>
      </c>
      <c r="C465" s="5" t="inlineStr">
        <is>
          <t>ผู้ใช้งาน</t>
        </is>
      </c>
      <c r="D465" s="5" t="inlineStr">
        <is>
          <t>ค้นหาด้วยคำค้นที่มีอยู่จริง (ผู้ใช้งาน)</t>
        </is>
      </c>
      <c r="E465" s="10" t="inlineStr">
        <is>
          <t>Functional</t>
        </is>
      </c>
      <c r="F465" s="5" t="inlineStr">
        <is>
          <t>เข้าสู่ระบบแล้ว และอยู่ที่หน้าผู้ใช้งาน</t>
        </is>
      </c>
      <c r="G465" s="5" t="inlineStr">
        <is>
          <t>1. พิมพ์คำค้นในช่อง "ค้นหา ชื่อผู้ใช้ / ชื่อ / อีเมล / รหัสพนักงาน"
2. ตรวจรายการที่แสดง
3. ล้างคำค้น</t>
        </is>
      </c>
      <c r="H465" s="5" t="inlineStr">
        <is>
          <t>คำค้น: somchai</t>
        </is>
      </c>
      <c r="I465" s="5" t="inlineStr">
        <is>
          <t>แสดงเฉพาะรายการที่ตรงกับคำค้น (สมชัย กิตติศักดิ์); เมื่อล้างคำค้นรายการกลับมาครบ</t>
        </is>
      </c>
      <c r="J465" s="10" t="inlineStr">
        <is>
          <t>Medium</t>
        </is>
      </c>
      <c r="K465" s="5" t="inlineStr">
        <is>
          <t>ผู้ดูแลระบบสูงสุด (admin)</t>
        </is>
      </c>
      <c r="L465" s="5" t="n"/>
      <c r="M465" s="10" t="inlineStr">
        <is>
          <t>ยังไม่ทดสอบ</t>
        </is>
      </c>
      <c r="N465" s="5" t="n"/>
      <c r="O465" s="18" t="n"/>
      <c r="P465" s="5" t="n"/>
      <c r="Q465" s="5" t="inlineStr">
        <is>
          <t>96b71cd7</t>
        </is>
      </c>
    </row>
    <row r="466" ht="62" customHeight="1">
      <c r="A466" s="10" t="inlineStr">
        <is>
          <t>UAT-USR-022</t>
        </is>
      </c>
      <c r="B466" s="5" t="inlineStr">
        <is>
          <t>ผู้ใช้งาน &amp; บทบาทสิทธิ์ (RBAC)</t>
        </is>
      </c>
      <c r="C466" s="5" t="inlineStr">
        <is>
          <t>ผู้ใช้งาน</t>
        </is>
      </c>
      <c r="D466" s="5" t="inlineStr">
        <is>
          <t>แสดงผลบนมือถือ 375px (ผู้ใช้งาน)</t>
        </is>
      </c>
      <c r="E466" s="10" t="inlineStr">
        <is>
          <t>Responsive</t>
        </is>
      </c>
      <c r="F466" s="5" t="inlineStr">
        <is>
          <t>เข้าสู่ระบบแล้ว; เปิด DevTools โหมดอุปกรณ์ iPhone SE/375×667</t>
        </is>
      </c>
      <c r="G466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66" s="5" t="inlineStr">
        <is>
          <t>ความกว้าง 375px</t>
        </is>
      </c>
      <c r="I466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66" s="10" t="inlineStr">
        <is>
          <t>Medium</t>
        </is>
      </c>
      <c r="K466" s="5" t="inlineStr">
        <is>
          <t>ผู้ดูแลระบบสูงสุด (admin)</t>
        </is>
      </c>
      <c r="L466" s="5" t="n"/>
      <c r="M466" s="10" t="inlineStr">
        <is>
          <t>ยังไม่ทดสอบ</t>
        </is>
      </c>
      <c r="N466" s="5" t="n"/>
      <c r="O466" s="18" t="n"/>
      <c r="P466" s="5" t="n"/>
      <c r="Q466" s="5" t="inlineStr">
        <is>
          <t>96b71cd7</t>
        </is>
      </c>
    </row>
    <row r="467" ht="62" customHeight="1">
      <c r="A467" s="10" t="inlineStr">
        <is>
          <t>UAT-USR-023</t>
        </is>
      </c>
      <c r="B467" s="5" t="inlineStr">
        <is>
          <t>ผู้ใช้งาน &amp; บทบาทสิทธิ์ (RBAC)</t>
        </is>
      </c>
      <c r="C467" s="5" t="inlineStr">
        <is>
          <t>ผู้ใช้งาน</t>
        </is>
      </c>
      <c r="D467" s="5" t="inlineStr">
        <is>
          <t>แสดงผลบน Desktop 1920px และความอ่านง่ายธีมมืด (ผู้ใช้งาน)</t>
        </is>
      </c>
      <c r="E467" s="10" t="inlineStr">
        <is>
          <t>UI</t>
        </is>
      </c>
      <c r="F467" s="5" t="inlineStr">
        <is>
          <t>เข้าสู่ระบบแล้ว; หน้าจอ 1920×1080</t>
        </is>
      </c>
      <c r="G467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67" s="5" t="inlineStr">
        <is>
          <t>ความกว้าง 1920px</t>
        </is>
      </c>
      <c r="I467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67" s="10" t="inlineStr">
        <is>
          <t>Low</t>
        </is>
      </c>
      <c r="K467" s="5" t="inlineStr">
        <is>
          <t>ผู้ดูแลระบบสูงสุด (admin)</t>
        </is>
      </c>
      <c r="L467" s="5" t="n"/>
      <c r="M467" s="10" t="inlineStr">
        <is>
          <t>ยังไม่ทดสอบ</t>
        </is>
      </c>
      <c r="N467" s="5" t="n"/>
      <c r="O467" s="18" t="n"/>
      <c r="P467" s="5" t="n"/>
      <c r="Q467" s="5" t="inlineStr">
        <is>
          <t>96b71cd7</t>
        </is>
      </c>
    </row>
    <row r="468" ht="47.5" customHeight="1">
      <c r="A468" s="10" t="inlineStr">
        <is>
          <t>UAT-MD-001</t>
        </is>
      </c>
      <c r="B468" s="5" t="inlineStr">
        <is>
          <t>ข้อมูลหลัก &amp; Custom Field Builder</t>
        </is>
      </c>
      <c r="C468" s="5" t="inlineStr">
        <is>
          <t>ข้อมูลหลัก (Master Data)</t>
        </is>
      </c>
      <c r="D468" s="5" t="inlineStr">
        <is>
          <t>สลับประเภทข้อมูลหลัก</t>
        </is>
      </c>
      <c r="E468" s="10" t="inlineStr">
        <is>
          <t>Functional</t>
        </is>
      </c>
      <c r="F468" s="5" t="inlineStr">
        <is>
          <t>เข้าสู่ระบบแล้ว</t>
        </is>
      </c>
      <c r="G468" s="5" t="inlineStr">
        <is>
          <t>1. คลิกทีละประเภท: ไซต์งาน, อาคาร, ที่ตั้ง/พื้นที่, แผนก, ศูนย์ต้นทุน, หมวดทรัพย์สิน, ฟิลด์เพิ่มเติมตามหมวด, ผู้จำหน่าย/ผู้รับเหมา, SLA ตามระดับความสำคัญ, สาเหตุการหยุดเครื่อง</t>
        </is>
      </c>
      <c r="H468" s="5" t="inlineStr">
        <is>
          <t>-</t>
        </is>
      </c>
      <c r="I468" s="5" t="inlineStr">
        <is>
          <t>ตารางเปลี่ยนตามประเภท แสดงจำนวน "n รายการ" และคอลัมน์เฉพาะ</t>
        </is>
      </c>
      <c r="J468" s="10" t="inlineStr">
        <is>
          <t>Medium</t>
        </is>
      </c>
      <c r="K468" s="5" t="inlineStr">
        <is>
          <t>ผู้ดูแลระบบสูงสุด (admin)</t>
        </is>
      </c>
      <c r="L468" s="5" t="n"/>
      <c r="M468" s="10" t="inlineStr">
        <is>
          <t>ยังไม่ทดสอบ</t>
        </is>
      </c>
      <c r="N468" s="5" t="n"/>
      <c r="O468" s="18" t="n"/>
      <c r="P468" s="5" t="n"/>
      <c r="Q468" s="5" t="inlineStr">
        <is>
          <t>e7002c68</t>
        </is>
      </c>
    </row>
    <row r="469" ht="47.5" customHeight="1">
      <c r="A469" s="10" t="inlineStr">
        <is>
          <t>UAT-MD-002</t>
        </is>
      </c>
      <c r="B469" s="5" t="inlineStr">
        <is>
          <t>ข้อมูลหลัก &amp; Custom Field Builder</t>
        </is>
      </c>
      <c r="C469" s="5" t="inlineStr">
        <is>
          <t>ข้อมูลหลัก (Master Data)</t>
        </is>
      </c>
      <c r="D469" s="5" t="inlineStr">
        <is>
          <t>เพิ่มไซต์งาน</t>
        </is>
      </c>
      <c r="E469" s="10" t="inlineStr">
        <is>
          <t>Functional</t>
        </is>
      </c>
      <c r="F469" s="5" t="inlineStr">
        <is>
          <t>เข้าสู่ระบบแล้ว</t>
        </is>
      </c>
      <c r="G469" s="5" t="inlineStr">
        <is>
          <t>1. ประเภท ไซต์งาน → "+ เพิ่มข้อมูล"
2. กรอกรหัส ชื่อ เวลาทำงาน (SLA) เปิดใช้งาน
3. บันทึก</t>
        </is>
      </c>
      <c r="H469" s="5" t="inlineStr">
        <is>
          <t>CBI; โรงงานชลบุรี; เวลาทำการ; ใช้</t>
        </is>
      </c>
      <c r="I469" s="5" t="inlineStr">
        <is>
          <t>toast "บันทึก CBI แล้ว"; ไซต์ใหม่ปรากฏใน dropdown ไซต์ของทุกหน้า</t>
        </is>
      </c>
      <c r="J469" s="10" t="inlineStr">
        <is>
          <t>High</t>
        </is>
      </c>
      <c r="K469" s="5" t="inlineStr">
        <is>
          <t>ผู้ดูแลระบบสูงสุด (admin)</t>
        </is>
      </c>
      <c r="L469" s="5" t="n"/>
      <c r="M469" s="10" t="inlineStr">
        <is>
          <t>ยังไม่ทดสอบ</t>
        </is>
      </c>
      <c r="N469" s="5" t="n"/>
      <c r="O469" s="18" t="n"/>
      <c r="P469" s="5" t="n"/>
      <c r="Q469" s="5" t="inlineStr">
        <is>
          <t>e7002c68</t>
        </is>
      </c>
    </row>
    <row r="470" ht="47.5" customHeight="1">
      <c r="A470" s="10" t="inlineStr">
        <is>
          <t>UAT-MD-003</t>
        </is>
      </c>
      <c r="B470" s="5" t="inlineStr">
        <is>
          <t>ข้อมูลหลัก &amp; Custom Field Builder</t>
        </is>
      </c>
      <c r="C470" s="5" t="inlineStr">
        <is>
          <t>ข้อมูลหลัก (Master Data)</t>
        </is>
      </c>
      <c r="D470" s="5" t="inlineStr">
        <is>
          <t>เพิ่มข้อมูลไม่กรอกฟิลด์บังคับ / รหัสซ้ำ</t>
        </is>
      </c>
      <c r="E470" s="10" t="inlineStr">
        <is>
          <t>Validation</t>
        </is>
      </c>
      <c r="F470" s="5" t="inlineStr">
        <is>
          <t>เปิดฟอร์มเพิ่มข้อมูล</t>
        </is>
      </c>
      <c r="G470" s="5" t="inlineStr">
        <is>
          <t>1. เว้นว่างรหัส
2. บันทึก
3. กรอกรหัสซ้ำ SKN</t>
        </is>
      </c>
      <c r="H470" s="5" t="inlineStr">
        <is>
          <t>-</t>
        </is>
      </c>
      <c r="I470" s="5" t="inlineStr">
        <is>
          <t>แจ้งฟิลด์บังคับ/รหัสซ้ำ ไม่บันทึก</t>
        </is>
      </c>
      <c r="J470" s="10" t="inlineStr">
        <is>
          <t>High</t>
        </is>
      </c>
      <c r="K470" s="5" t="inlineStr">
        <is>
          <t>ผู้ดูแลระบบสูงสุด (admin)</t>
        </is>
      </c>
      <c r="L470" s="5" t="n"/>
      <c r="M470" s="10" t="inlineStr">
        <is>
          <t>ยังไม่ทดสอบ</t>
        </is>
      </c>
      <c r="N470" s="5" t="n"/>
      <c r="O470" s="18" t="n"/>
      <c r="P470" s="5" t="n"/>
      <c r="Q470" s="5" t="inlineStr">
        <is>
          <t>e7002c68</t>
        </is>
      </c>
    </row>
    <row r="471" ht="33" customHeight="1">
      <c r="A471" s="10" t="inlineStr">
        <is>
          <t>UAT-MD-004</t>
        </is>
      </c>
      <c r="B471" s="5" t="inlineStr">
        <is>
          <t>ข้อมูลหลัก &amp; Custom Field Builder</t>
        </is>
      </c>
      <c r="C471" s="5" t="inlineStr">
        <is>
          <t>ข้อมูลหลัก (Master Data)</t>
        </is>
      </c>
      <c r="D471" s="5" t="inlineStr">
        <is>
          <t>แก้ไขและลบข้อมูลหลัก</t>
        </is>
      </c>
      <c r="E471" s="10" t="inlineStr">
        <is>
          <t>Functional</t>
        </is>
      </c>
      <c r="F471" s="5" t="inlineStr">
        <is>
          <t>มีข้อมูลแผนก</t>
        </is>
      </c>
      <c r="G471" s="5" t="inlineStr">
        <is>
          <t>1. คลิกแก้ไข เปลี่ยนชื่อ บันทึก
2. คลิกลบ ยืนยัน</t>
        </is>
      </c>
      <c r="H471" s="5" t="inlineStr">
        <is>
          <t>-</t>
        </is>
      </c>
      <c r="I471" s="5" t="inlineStr">
        <is>
          <t>แก้ไขสำเร็จ; ลบสำเร็จพร้อม toast "ลบ … แล้ว"</t>
        </is>
      </c>
      <c r="J471" s="10" t="inlineStr">
        <is>
          <t>Medium</t>
        </is>
      </c>
      <c r="K471" s="5" t="inlineStr">
        <is>
          <t>ผู้ดูแลระบบสูงสุด (admin)</t>
        </is>
      </c>
      <c r="L471" s="5" t="n"/>
      <c r="M471" s="10" t="inlineStr">
        <is>
          <t>ยังไม่ทดสอบ</t>
        </is>
      </c>
      <c r="N471" s="5" t="n"/>
      <c r="O471" s="18" t="n"/>
      <c r="P471" s="5" t="n"/>
      <c r="Q471" s="5" t="inlineStr">
        <is>
          <t>e7002c68</t>
        </is>
      </c>
    </row>
    <row r="472" ht="33" customHeight="1">
      <c r="A472" s="10" t="inlineStr">
        <is>
          <t>UAT-MD-005</t>
        </is>
      </c>
      <c r="B472" s="5" t="inlineStr">
        <is>
          <t>ข้อมูลหลัก &amp; Custom Field Builder</t>
        </is>
      </c>
      <c r="C472" s="5" t="inlineStr">
        <is>
          <t>ข้อมูลหลัก (Master Data)</t>
        </is>
      </c>
      <c r="D472" s="5" t="inlineStr">
        <is>
          <t>ลบข้อมูลหลักที่ถูกใช้งานอยู่</t>
        </is>
      </c>
      <c r="E472" s="10" t="inlineStr">
        <is>
          <t>Negative</t>
        </is>
      </c>
      <c r="F472" s="5" t="inlineStr">
        <is>
          <t>หมวด เครื่องจักรการผลิต มีทรัพย์สินผูกอยู่</t>
        </is>
      </c>
      <c r="G472" s="5" t="inlineStr">
        <is>
          <t>1. ลบหมวดนี้</t>
        </is>
      </c>
      <c r="H472" s="5" t="inlineStr">
        <is>
          <t>-</t>
        </is>
      </c>
      <c r="I472" s="5" t="inlineStr">
        <is>
          <t>ระบบไม่อนุญาตลบ แจ้งว่ามีข้อมูลอ้างอิง (แนะนำปิดใช้งาน)</t>
        </is>
      </c>
      <c r="J472" s="10" t="inlineStr">
        <is>
          <t>High</t>
        </is>
      </c>
      <c r="K472" s="5" t="inlineStr">
        <is>
          <t>ผู้ดูแลระบบสูงสุด (admin)</t>
        </is>
      </c>
      <c r="L472" s="5" t="n"/>
      <c r="M472" s="10" t="inlineStr">
        <is>
          <t>ยังไม่ทดสอบ</t>
        </is>
      </c>
      <c r="N472" s="5" t="n"/>
      <c r="O472" s="18" t="n"/>
      <c r="P472" s="5" t="n"/>
      <c r="Q472" s="5" t="inlineStr">
        <is>
          <t>e7002c68</t>
        </is>
      </c>
    </row>
    <row r="473" ht="47.5" customHeight="1">
      <c r="A473" s="10" t="inlineStr">
        <is>
          <t>UAT-MD-006</t>
        </is>
      </c>
      <c r="B473" s="5" t="inlineStr">
        <is>
          <t>ข้อมูลหลัก &amp; Custom Field Builder</t>
        </is>
      </c>
      <c r="C473" s="5" t="inlineStr">
        <is>
          <t>ข้อมูลหลัก (Master Data)</t>
        </is>
      </c>
      <c r="D473" s="5" t="inlineStr">
        <is>
          <t>SLA ตามระดับความสำคัญ</t>
        </is>
      </c>
      <c r="E473" s="10" t="inlineStr">
        <is>
          <t>Functional</t>
        </is>
      </c>
      <c r="F473" s="5" t="inlineStr">
        <is>
          <t>เข้าสู่ระบบแล้ว</t>
        </is>
      </c>
      <c r="G473" s="5" t="inlineStr">
        <is>
          <t>1. เปิดประเภท SLA
2. แก้ P2 แก้ไขภายใน 8 ชม. → 6 ชม.
3. สร้าง WO P2 ใหม่</t>
        </is>
      </c>
      <c r="H473" s="5" t="inlineStr">
        <is>
          <t>-</t>
        </is>
      </c>
      <c r="I473" s="5" t="inlineStr">
        <is>
          <t>ตาราง P1 15 นาที/4 ชม., P2 1 ชม./8 ชม., P3, P4; หลังแก้ WO ใหม่ใช้ SLA 6 ชม.; WO เดิมไม่เปลี่ยน</t>
        </is>
      </c>
      <c r="J473" s="10" t="inlineStr">
        <is>
          <t>High</t>
        </is>
      </c>
      <c r="K473" s="5" t="inlineStr">
        <is>
          <t>ผู้จัดการซ่อมบำรุง (maint.mgr)</t>
        </is>
      </c>
      <c r="L473" s="5" t="n"/>
      <c r="M473" s="10" t="inlineStr">
        <is>
          <t>ยังไม่ทดสอบ</t>
        </is>
      </c>
      <c r="N473" s="5" t="n"/>
      <c r="O473" s="18" t="n"/>
      <c r="P473" s="5" t="n"/>
      <c r="Q473" s="5" t="inlineStr">
        <is>
          <t>e7002c68</t>
        </is>
      </c>
    </row>
    <row r="474" ht="33" customHeight="1">
      <c r="A474" s="10" t="inlineStr">
        <is>
          <t>UAT-MD-007</t>
        </is>
      </c>
      <c r="B474" s="5" t="inlineStr">
        <is>
          <t>ข้อมูลหลัก &amp; Custom Field Builder</t>
        </is>
      </c>
      <c r="C474" s="5" t="inlineStr">
        <is>
          <t>ข้อมูลหลัก (Master Data)</t>
        </is>
      </c>
      <c r="D474" s="5" t="inlineStr">
        <is>
          <t>หมวดทรัพย์สิน: วิธีคิดค่าเสื่อมเริ่มต้น</t>
        </is>
      </c>
      <c r="E474" s="10" t="inlineStr">
        <is>
          <t>Functional</t>
        </is>
      </c>
      <c r="F474" s="5" t="inlineStr">
        <is>
          <t>เข้าสู่ระบบแล้ว</t>
        </is>
      </c>
      <c r="G474" s="5" t="inlineStr">
        <is>
          <t>1. แก้หมวด อุปกรณ์ไอทีและเครือข่าย = เส้นตรง · 3 ปี
2. เพิ่มทรัพย์สินหมวดนี้</t>
        </is>
      </c>
      <c r="H474" s="5" t="inlineStr">
        <is>
          <t>-</t>
        </is>
      </c>
      <c r="I474" s="5" t="inlineStr">
        <is>
          <t>Wizard ขั้นบัญชีเติมวิธีคิด เส้นตรง และอายุ 36 เดือนให้อัตโนมัติ</t>
        </is>
      </c>
      <c r="J474" s="10" t="inlineStr">
        <is>
          <t>Medium</t>
        </is>
      </c>
      <c r="K474" s="5" t="inlineStr">
        <is>
          <t>บัญชีสินทรัพย์ (account)</t>
        </is>
      </c>
      <c r="L474" s="5" t="n"/>
      <c r="M474" s="10" t="inlineStr">
        <is>
          <t>ยังไม่ทดสอบ</t>
        </is>
      </c>
      <c r="N474" s="5" t="n"/>
      <c r="O474" s="18" t="n"/>
      <c r="P474" s="5" t="n"/>
      <c r="Q474" s="5" t="inlineStr">
        <is>
          <t>e7002c68</t>
        </is>
      </c>
    </row>
    <row r="475" ht="33" customHeight="1">
      <c r="A475" s="10" t="inlineStr">
        <is>
          <t>UAT-MD-008</t>
        </is>
      </c>
      <c r="B475" s="5" t="inlineStr">
        <is>
          <t>ข้อมูลหลัก &amp; Custom Field Builder</t>
        </is>
      </c>
      <c r="C475" s="5" t="inlineStr">
        <is>
          <t>Custom Field Builder (ฟิลด์เพิ่มเติมตามหมวด)</t>
        </is>
      </c>
      <c r="D475" s="5" t="inlineStr">
        <is>
          <t>เปิด Builder และเลือกหมวด/ใช้กับ</t>
        </is>
      </c>
      <c r="E475" s="10" t="inlineStr">
        <is>
          <t>UI</t>
        </is>
      </c>
      <c r="F475" s="5" t="inlineStr">
        <is>
          <t>เข้าสู่ระบบแล้ว</t>
        </is>
      </c>
      <c r="G475" s="5" t="inlineStr">
        <is>
          <t>1. เลือก ฟิลด์เพิ่มเติมตามหมวด
2. เลือกหมวด ยานพาหนะ</t>
        </is>
      </c>
      <c r="H475" s="5" t="inlineStr">
        <is>
          <t>-</t>
        </is>
      </c>
      <c r="I475" s="5" t="inlineStr">
        <is>
          <t>แสดงฟิลด์ที่มีในหมวด (ทะเบียนรถ, เลขไมล์, วันต่อภาษี, ประเภทเชื้อเพลิง) และตัวอย่างฟอร์ม (preview)</t>
        </is>
      </c>
      <c r="J475" s="10" t="inlineStr">
        <is>
          <t>Medium</t>
        </is>
      </c>
      <c r="K475" s="5" t="inlineStr">
        <is>
          <t>ผู้ดูแลระบบสูงสุด (admin)</t>
        </is>
      </c>
      <c r="L475" s="5" t="n"/>
      <c r="M475" s="10" t="inlineStr">
        <is>
          <t>ยังไม่ทดสอบ</t>
        </is>
      </c>
      <c r="N475" s="5" t="n"/>
      <c r="O475" s="18" t="n"/>
      <c r="P475" s="5" t="n"/>
      <c r="Q475" s="5" t="inlineStr">
        <is>
          <t>e7002c68</t>
        </is>
      </c>
    </row>
    <row r="476" ht="62" customHeight="1">
      <c r="A476" s="10" t="inlineStr">
        <is>
          <t>UAT-MD-009</t>
        </is>
      </c>
      <c r="B476" s="5" t="inlineStr">
        <is>
          <t>ข้อมูลหลัก &amp; Custom Field Builder</t>
        </is>
      </c>
      <c r="C476" s="5" t="inlineStr">
        <is>
          <t>Custom Field Builder (ฟิลด์เพิ่มเติมตามหมวด)</t>
        </is>
      </c>
      <c r="D476" s="5" t="inlineStr">
        <is>
          <t>สร้างฟิลด์ทุกชนิดข้อมูล</t>
        </is>
      </c>
      <c r="E476" s="10" t="inlineStr">
        <is>
          <t>Functional</t>
        </is>
      </c>
      <c r="F476" s="5" t="inlineStr">
        <is>
          <t>เข้าสู่ระบบแล้ว</t>
        </is>
      </c>
      <c r="G476" s="5" t="inlineStr">
        <is>
          <t>1. เพิ่มฟิลด์ชนิด ข้อความ, ตัวเลข, วันที่, ตัวเลือก (dropdown), หลายตัวเลือก, ใช่/ไม่ใช่, ผู้ใช้, ทรัพย์สิน (ลิงก์), ไฟล์/รูป, สูตรคำนวณ
2. กด "บันทึกโครงสร้าง"</t>
        </is>
      </c>
      <c r="H476" s="5" t="inlineStr">
        <is>
          <t>-</t>
        </is>
      </c>
      <c r="I476" s="5" t="inlineStr">
        <is>
          <t>ทุกชนิดแสดงใน preview ด้วย control ที่ถูกต้อง; บันทึกแล้วปรากฏในฟอร์มทรัพย์สินหมวดนั้น</t>
        </is>
      </c>
      <c r="J476" s="10" t="inlineStr">
        <is>
          <t>High</t>
        </is>
      </c>
      <c r="K476" s="5" t="inlineStr">
        <is>
          <t>ผู้ดูแลระบบสูงสุด (admin)</t>
        </is>
      </c>
      <c r="L476" s="5" t="n"/>
      <c r="M476" s="10" t="inlineStr">
        <is>
          <t>ยังไม่ทดสอบ</t>
        </is>
      </c>
      <c r="N476" s="5" t="n"/>
      <c r="O476" s="18" t="n"/>
      <c r="P476" s="5" t="n"/>
      <c r="Q476" s="5" t="inlineStr">
        <is>
          <t>e7002c68</t>
        </is>
      </c>
    </row>
    <row r="477" ht="33" customHeight="1">
      <c r="A477" s="10" t="inlineStr">
        <is>
          <t>UAT-MD-010</t>
        </is>
      </c>
      <c r="B477" s="5" t="inlineStr">
        <is>
          <t>ข้อมูลหลัก &amp; Custom Field Builder</t>
        </is>
      </c>
      <c r="C477" s="5" t="inlineStr">
        <is>
          <t>Custom Field Builder (ฟิลด์เพิ่มเติมตามหมวด)</t>
        </is>
      </c>
      <c r="D477" s="5" t="inlineStr">
        <is>
          <t>ฟิลด์บังคับและค่า default</t>
        </is>
      </c>
      <c r="E477" s="10" t="inlineStr">
        <is>
          <t>Validation</t>
        </is>
      </c>
      <c r="F477" s="5" t="inlineStr">
        <is>
          <t>สร้างฟิลด์ "ทะเบียนรถ" ตั้งบังคับ</t>
        </is>
      </c>
      <c r="G477" s="5" t="inlineStr">
        <is>
          <t>1. เพิ่มทรัพย์สินหมวด ยานพาหนะ โดยไม่กรอกทะเบียนรถ</t>
        </is>
      </c>
      <c r="H477" s="5" t="inlineStr">
        <is>
          <t>-</t>
        </is>
      </c>
      <c r="I477" s="5" t="inlineStr">
        <is>
          <t>ฟอร์มไม่บันทึก แจ้งฟิลด์บังคับ</t>
        </is>
      </c>
      <c r="J477" s="10" t="inlineStr">
        <is>
          <t>High</t>
        </is>
      </c>
      <c r="K477" s="5" t="inlineStr">
        <is>
          <t>ผู้จัดการทรัพย์สิน (asset.mgr)</t>
        </is>
      </c>
      <c r="L477" s="5" t="n"/>
      <c r="M477" s="10" t="inlineStr">
        <is>
          <t>ยังไม่ทดสอบ</t>
        </is>
      </c>
      <c r="N477" s="5" t="n"/>
      <c r="O477" s="18" t="n"/>
      <c r="P477" s="5" t="n"/>
      <c r="Q477" s="5" t="inlineStr">
        <is>
          <t>e7002c68</t>
        </is>
      </c>
    </row>
    <row r="478" ht="33" customHeight="1">
      <c r="A478" s="10" t="inlineStr">
        <is>
          <t>UAT-MD-011</t>
        </is>
      </c>
      <c r="B478" s="5" t="inlineStr">
        <is>
          <t>ข้อมูลหลัก &amp; Custom Field Builder</t>
        </is>
      </c>
      <c r="C478" s="5" t="inlineStr">
        <is>
          <t>Custom Field Builder (ฟิลด์เพิ่มเติมตามหมวด)</t>
        </is>
      </c>
      <c r="D478" s="5" t="inlineStr">
        <is>
          <t>ฟิลด์ตัวเลือก (dropdown) กำหนดตัวเลือก</t>
        </is>
      </c>
      <c r="E478" s="10" t="inlineStr">
        <is>
          <t>Functional</t>
        </is>
      </c>
      <c r="F478" s="5" t="inlineStr">
        <is>
          <t>เข้าสู่ระบบแล้ว</t>
        </is>
      </c>
      <c r="G478" s="5" t="inlineStr">
        <is>
          <t>1. สร้างฟิลด์ ประเภทเชื้อเพลิง ตัวเลือก ดีเซล/เบนซิน/ไฟฟ้า</t>
        </is>
      </c>
      <c r="H478" s="5" t="inlineStr">
        <is>
          <t>-</t>
        </is>
      </c>
      <c r="I478" s="5" t="inlineStr">
        <is>
          <t>ฟอร์มทรัพย์สินแสดง dropdown 3 ตัวเลือก</t>
        </is>
      </c>
      <c r="J478" s="10" t="inlineStr">
        <is>
          <t>Medium</t>
        </is>
      </c>
      <c r="K478" s="5" t="inlineStr">
        <is>
          <t>ผู้ดูแลระบบสูงสุด (admin)</t>
        </is>
      </c>
      <c r="L478" s="5" t="n"/>
      <c r="M478" s="10" t="inlineStr">
        <is>
          <t>ยังไม่ทดสอบ</t>
        </is>
      </c>
      <c r="N478" s="5" t="n"/>
      <c r="O478" s="18" t="n"/>
      <c r="P478" s="5" t="n"/>
      <c r="Q478" s="5" t="inlineStr">
        <is>
          <t>e7002c68</t>
        </is>
      </c>
    </row>
    <row r="479" ht="33" customHeight="1">
      <c r="A479" s="10" t="inlineStr">
        <is>
          <t>UAT-MD-012</t>
        </is>
      </c>
      <c r="B479" s="5" t="inlineStr">
        <is>
          <t>ข้อมูลหลัก &amp; Custom Field Builder</t>
        </is>
      </c>
      <c r="C479" s="5" t="inlineStr">
        <is>
          <t>Custom Field Builder (ฟิลด์เพิ่มเติมตามหมวด)</t>
        </is>
      </c>
      <c r="D479" s="5" t="inlineStr">
        <is>
          <t>ฟิลด์สูตรคำนวณ</t>
        </is>
      </c>
      <c r="E479" s="10" t="inlineStr">
        <is>
          <t>Functional</t>
        </is>
      </c>
      <c r="F479" s="5" t="inlineStr">
        <is>
          <t>เข้าสู่ระบบแล้ว</t>
        </is>
      </c>
      <c r="G479" s="5" t="inlineStr">
        <is>
          <t>1. สร้างฟิลด์สูตร = ชั่วโมงเดินเครื่อง × กำลังมอเตอร์ (kW)</t>
        </is>
      </c>
      <c r="H479" s="5" t="inlineStr">
        <is>
          <t>1,000 ชม. × 15 kW</t>
        </is>
      </c>
      <c r="I479" s="5" t="inlineStr">
        <is>
          <t>ค่าคำนวณอัตโนมัติ = 15,000 อ่านอย่างเดียว</t>
        </is>
      </c>
      <c r="J479" s="10" t="inlineStr">
        <is>
          <t>Medium</t>
        </is>
      </c>
      <c r="K479" s="5" t="inlineStr">
        <is>
          <t>ผู้ดูแลระบบสูงสุด (admin)</t>
        </is>
      </c>
      <c r="L479" s="5" t="n"/>
      <c r="M479" s="10" t="inlineStr">
        <is>
          <t>ยังไม่ทดสอบ</t>
        </is>
      </c>
      <c r="N479" s="5" t="n"/>
      <c r="O479" s="18" t="n"/>
      <c r="P479" s="5" t="n"/>
      <c r="Q479" s="5" t="inlineStr">
        <is>
          <t>e7002c68</t>
        </is>
      </c>
    </row>
    <row r="480" ht="33" customHeight="1">
      <c r="A480" s="10" t="inlineStr">
        <is>
          <t>UAT-MD-013</t>
        </is>
      </c>
      <c r="B480" s="5" t="inlineStr">
        <is>
          <t>ข้อมูลหลัก &amp; Custom Field Builder</t>
        </is>
      </c>
      <c r="C480" s="5" t="inlineStr">
        <is>
          <t>Custom Field Builder (ฟิลด์เพิ่มเติมตามหมวด)</t>
        </is>
      </c>
      <c r="D480" s="5" t="inlineStr">
        <is>
          <t>ลากจัดลำดับฟิลด์</t>
        </is>
      </c>
      <c r="E480" s="10" t="inlineStr">
        <is>
          <t>UI</t>
        </is>
      </c>
      <c r="F480" s="5" t="inlineStr">
        <is>
          <t>เข้าสู่ระบบแล้ว</t>
        </is>
      </c>
      <c r="G480" s="5" t="inlineStr">
        <is>
          <t>1. ลากฟิลด์ "วันต่อภาษี" ไปลำดับแรก
2. บันทึกโครงสร้าง</t>
        </is>
      </c>
      <c r="H480" s="5" t="inlineStr">
        <is>
          <t>-</t>
        </is>
      </c>
      <c r="I480" s="5" t="inlineStr">
        <is>
          <t>ลำดับฟิลด์ในฟอร์มเปลี่ยนตาม</t>
        </is>
      </c>
      <c r="J480" s="10" t="inlineStr">
        <is>
          <t>Low</t>
        </is>
      </c>
      <c r="K480" s="5" t="inlineStr">
        <is>
          <t>ผู้ดูแลระบบสูงสุด (admin)</t>
        </is>
      </c>
      <c r="L480" s="5" t="n"/>
      <c r="M480" s="10" t="inlineStr">
        <is>
          <t>ยังไม่ทดสอบ</t>
        </is>
      </c>
      <c r="N480" s="5" t="n"/>
      <c r="O480" s="18" t="n"/>
      <c r="P480" s="5" t="n"/>
      <c r="Q480" s="5" t="inlineStr">
        <is>
          <t>e7002c68</t>
        </is>
      </c>
    </row>
    <row r="481" ht="47.5" customHeight="1">
      <c r="A481" s="10" t="inlineStr">
        <is>
          <t>UAT-MD-014</t>
        </is>
      </c>
      <c r="B481" s="5" t="inlineStr">
        <is>
          <t>ข้อมูลหลัก &amp; Custom Field Builder</t>
        </is>
      </c>
      <c r="C481" s="5" t="inlineStr">
        <is>
          <t>Custom Field Builder (ฟิลด์เพิ่มเติมตามหมวด)</t>
        </is>
      </c>
      <c r="D481" s="5" t="inlineStr">
        <is>
          <t>ใช้ Custom Field กับโมดูลอื่น (WO/ใบแจ้งซ่อม/อะไหล่/ผู้ใช้)</t>
        </is>
      </c>
      <c r="E481" s="10" t="inlineStr">
        <is>
          <t>Functional</t>
        </is>
      </c>
      <c r="F481" s="5" t="inlineStr">
        <is>
          <t>เข้าสู่ระบบแล้ว</t>
        </is>
      </c>
      <c r="G481" s="5" t="inlineStr">
        <is>
          <t>1. เลือก "ใช้กับ" = ใบสั่งงาน
2. เพิ่มฟิลด์ "Cost center"
3. เปิดฟอร์มสร้าง WO</t>
        </is>
      </c>
      <c r="H481" s="5" t="inlineStr">
        <is>
          <t>-</t>
        </is>
      </c>
      <c r="I481" s="5" t="inlineStr">
        <is>
          <t>ฟิลด์ Cost center แสดงในฟอร์ม WO และนำไปใช้ในรายงานกำหนดเองได้</t>
        </is>
      </c>
      <c r="J481" s="10" t="inlineStr">
        <is>
          <t>High</t>
        </is>
      </c>
      <c r="K481" s="5" t="inlineStr">
        <is>
          <t>ผู้ดูแลระบบสูงสุด (admin)</t>
        </is>
      </c>
      <c r="L481" s="5" t="n"/>
      <c r="M481" s="10" t="inlineStr">
        <is>
          <t>ยังไม่ทดสอบ</t>
        </is>
      </c>
      <c r="N481" s="5" t="n"/>
      <c r="O481" s="18" t="n"/>
      <c r="P481" s="5" t="n"/>
      <c r="Q481" s="5" t="inlineStr">
        <is>
          <t>e7002c68</t>
        </is>
      </c>
    </row>
    <row r="482" ht="33" customHeight="1">
      <c r="A482" s="10" t="inlineStr">
        <is>
          <t>UAT-MD-015</t>
        </is>
      </c>
      <c r="B482" s="5" t="inlineStr">
        <is>
          <t>ข้อมูลหลัก &amp; Custom Field Builder</t>
        </is>
      </c>
      <c r="C482" s="5" t="inlineStr">
        <is>
          <t>Custom Field Builder (ฟิลด์เพิ่มเติมตามหมวด)</t>
        </is>
      </c>
      <c r="D482" s="5" t="inlineStr">
        <is>
          <t>ชื่อฟิลด์ซ้ำในหมวดเดียวกัน</t>
        </is>
      </c>
      <c r="E482" s="10" t="inlineStr">
        <is>
          <t>Validation</t>
        </is>
      </c>
      <c r="F482" s="5" t="inlineStr">
        <is>
          <t>เข้าสู่ระบบแล้ว</t>
        </is>
      </c>
      <c r="G482" s="5" t="inlineStr">
        <is>
          <t>1. สร้างฟิลด์ชื่อซ้ำ "ทะเบียนรถ"</t>
        </is>
      </c>
      <c r="H482" s="5" t="inlineStr">
        <is>
          <t>-</t>
        </is>
      </c>
      <c r="I482" s="5" t="inlineStr">
        <is>
          <t>แจ้งชื่อฟิลด์ซ้ำ</t>
        </is>
      </c>
      <c r="J482" s="10" t="inlineStr">
        <is>
          <t>Medium</t>
        </is>
      </c>
      <c r="K482" s="5" t="inlineStr">
        <is>
          <t>ผู้ดูแลระบบสูงสุด (admin)</t>
        </is>
      </c>
      <c r="L482" s="5" t="n"/>
      <c r="M482" s="10" t="inlineStr">
        <is>
          <t>ยังไม่ทดสอบ</t>
        </is>
      </c>
      <c r="N482" s="5" t="n"/>
      <c r="O482" s="18" t="n"/>
      <c r="P482" s="5" t="n"/>
      <c r="Q482" s="5" t="inlineStr">
        <is>
          <t>e7002c68</t>
        </is>
      </c>
    </row>
    <row r="483" ht="33" customHeight="1">
      <c r="A483" s="10" t="inlineStr">
        <is>
          <t>UAT-MD-016</t>
        </is>
      </c>
      <c r="B483" s="5" t="inlineStr">
        <is>
          <t>ข้อมูลหลัก &amp; Custom Field Builder</t>
        </is>
      </c>
      <c r="C483" s="5" t="inlineStr">
        <is>
          <t>Custom Field Builder (ฟิลด์เพิ่มเติมตามหมวด)</t>
        </is>
      </c>
      <c r="D483" s="5" t="inlineStr">
        <is>
          <t>ลบฟิลด์ที่มีข้อมูลแล้ว</t>
        </is>
      </c>
      <c r="E483" s="10" t="inlineStr">
        <is>
          <t>Negative</t>
        </is>
      </c>
      <c r="F483" s="5" t="inlineStr">
        <is>
          <t>ฟิลด์มีค่าบันทึกในทรัพย์สิน</t>
        </is>
      </c>
      <c r="G483" s="5" t="inlineStr">
        <is>
          <t>1. ลบฟิลด์</t>
        </is>
      </c>
      <c r="H483" s="5" t="inlineStr">
        <is>
          <t>-</t>
        </is>
      </c>
      <c r="I483" s="5" t="inlineStr">
        <is>
          <t>ระบบเตือนว่าข้อมูลจะไม่แสดง/ขอยืนยัน หรือให้ปิดใช้งานแทน</t>
        </is>
      </c>
      <c r="J483" s="10" t="inlineStr">
        <is>
          <t>Medium</t>
        </is>
      </c>
      <c r="K483" s="5" t="inlineStr">
        <is>
          <t>ผู้ดูแลระบบสูงสุด (admin)</t>
        </is>
      </c>
      <c r="L483" s="5" t="n"/>
      <c r="M483" s="10" t="inlineStr">
        <is>
          <t>ยังไม่ทดสอบ</t>
        </is>
      </c>
      <c r="N483" s="5" t="n"/>
      <c r="O483" s="18" t="n"/>
      <c r="P483" s="5" t="n"/>
      <c r="Q483" s="5" t="inlineStr">
        <is>
          <t>e7002c68</t>
        </is>
      </c>
    </row>
    <row r="484" ht="33" customHeight="1">
      <c r="A484" s="10" t="inlineStr">
        <is>
          <t>UAT-MD-017</t>
        </is>
      </c>
      <c r="B484" s="5" t="inlineStr">
        <is>
          <t>ข้อมูลหลัก &amp; Custom Field Builder</t>
        </is>
      </c>
      <c r="C484" s="5" t="inlineStr">
        <is>
          <t>Custom Field Builder (ฟิลด์เพิ่มเติมตามหมวด)</t>
        </is>
      </c>
      <c r="D484" s="5" t="inlineStr">
        <is>
          <t>ผู้ไม่มีสิทธิ์จัดการข้อมูลหลัก</t>
        </is>
      </c>
      <c r="E484" s="10" t="inlineStr">
        <is>
          <t>Permission</t>
        </is>
      </c>
      <c r="F484" s="5" t="inlineStr">
        <is>
          <t>ล็อกอินเป็นช่าง</t>
        </is>
      </c>
      <c r="G484" s="5" t="inlineStr">
        <is>
          <t>1. เปิด URL ข้อมูลหลัก</t>
        </is>
      </c>
      <c r="H484" s="5" t="inlineStr">
        <is>
          <t>-</t>
        </is>
      </c>
      <c r="I484" s="5" t="inlineStr">
        <is>
          <t>ถูกปฏิเสธ/ไม่เห็นปุ่มเพิ่ม/แก้ไข/ลบ</t>
        </is>
      </c>
      <c r="J484" s="10" t="inlineStr">
        <is>
          <t>High</t>
        </is>
      </c>
      <c r="K484" s="5" t="inlineStr">
        <is>
          <t>ช่างซ่อมบำรุง (somchai)</t>
        </is>
      </c>
      <c r="L484" s="5" t="n"/>
      <c r="M484" s="10" t="inlineStr">
        <is>
          <t>ยังไม่ทดสอบ</t>
        </is>
      </c>
      <c r="N484" s="5" t="n"/>
      <c r="O484" s="18" t="n"/>
      <c r="P484" s="5" t="n"/>
      <c r="Q484" s="5" t="inlineStr">
        <is>
          <t>e7002c68</t>
        </is>
      </c>
    </row>
    <row r="485" ht="33" customHeight="1">
      <c r="A485" s="10" t="inlineStr">
        <is>
          <t>UAT-MD-018</t>
        </is>
      </c>
      <c r="B485" s="5" t="inlineStr">
        <is>
          <t>ข้อมูลหลัก &amp; Custom Field Builder</t>
        </is>
      </c>
      <c r="C485" s="5" t="inlineStr">
        <is>
          <t>ข้อมูลหลัก (Master Data)</t>
        </is>
      </c>
      <c r="D485" s="5" t="inlineStr">
        <is>
          <t>ค้นหาไม่พบข้อมูล (ข้อมูลหลัก (Master Data))</t>
        </is>
      </c>
      <c r="E485" s="10" t="inlineStr">
        <is>
          <t>Negative</t>
        </is>
      </c>
      <c r="F485" s="5" t="inlineStr">
        <is>
          <t>เข้าสู่ระบบแล้ว และอยู่ที่หน้าข้อมูลหลัก (Master Data)</t>
        </is>
      </c>
      <c r="G485" s="5" t="inlineStr">
        <is>
          <t>1. พิมพ์คำค้นที่ไม่มีอยู่จริงในช่อง "ค้นหาข้อมูลหลัก"
2. สังเกตตาราง/รายการ</t>
        </is>
      </c>
      <c r="H485" s="5" t="inlineStr">
        <is>
          <t>คำค้น: ZZZ-NOTFOUND-999</t>
        </is>
      </c>
      <c r="I485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485" s="10" t="inlineStr">
        <is>
          <t>Low</t>
        </is>
      </c>
      <c r="K485" s="5" t="inlineStr">
        <is>
          <t>ผู้ดูแลระบบสูงสุด (admin)</t>
        </is>
      </c>
      <c r="L485" s="5" t="n"/>
      <c r="M485" s="10" t="inlineStr">
        <is>
          <t>ยังไม่ทดสอบ</t>
        </is>
      </c>
      <c r="N485" s="5" t="n"/>
      <c r="O485" s="18" t="n"/>
      <c r="P485" s="5" t="n"/>
      <c r="Q485" s="5" t="inlineStr">
        <is>
          <t>e7002c68</t>
        </is>
      </c>
    </row>
    <row r="486" ht="47.5" customHeight="1">
      <c r="A486" s="10" t="inlineStr">
        <is>
          <t>UAT-MD-019</t>
        </is>
      </c>
      <c r="B486" s="5" t="inlineStr">
        <is>
          <t>ข้อมูลหลัก &amp; Custom Field Builder</t>
        </is>
      </c>
      <c r="C486" s="5" t="inlineStr">
        <is>
          <t>ข้อมูลหลัก (Master Data)</t>
        </is>
      </c>
      <c r="D486" s="5" t="inlineStr">
        <is>
          <t>ค้นหาด้วยคำค้นที่มีอยู่จริง (ข้อมูลหลัก (Master Data))</t>
        </is>
      </c>
      <c r="E486" s="10" t="inlineStr">
        <is>
          <t>Functional</t>
        </is>
      </c>
      <c r="F486" s="5" t="inlineStr">
        <is>
          <t>เข้าสู่ระบบแล้ว และอยู่ที่หน้าข้อมูลหลัก (Master Data)</t>
        </is>
      </c>
      <c r="G486" s="5" t="inlineStr">
        <is>
          <t>1. พิมพ์คำค้นในช่อง "ค้นหาข้อมูลหลัก"
2. ตรวจรายการที่แสดง
3. ล้างคำค้น</t>
        </is>
      </c>
      <c r="H486" s="5" t="inlineStr">
        <is>
          <t>คำค้น: ระยอง</t>
        </is>
      </c>
      <c r="I486" s="5" t="inlineStr">
        <is>
          <t>แสดงเฉพาะรายการที่ตรงกับคำค้น (ไซต์ RYG โรงงานระยอง); เมื่อล้างคำค้นรายการกลับมาครบ</t>
        </is>
      </c>
      <c r="J486" s="10" t="inlineStr">
        <is>
          <t>Medium</t>
        </is>
      </c>
      <c r="K486" s="5" t="inlineStr">
        <is>
          <t>ผู้ดูแลระบบสูงสุด (admin)</t>
        </is>
      </c>
      <c r="L486" s="5" t="n"/>
      <c r="M486" s="10" t="inlineStr">
        <is>
          <t>ยังไม่ทดสอบ</t>
        </is>
      </c>
      <c r="N486" s="5" t="n"/>
      <c r="O486" s="18" t="n"/>
      <c r="P486" s="5" t="n"/>
      <c r="Q486" s="5" t="inlineStr">
        <is>
          <t>e7002c68</t>
        </is>
      </c>
    </row>
    <row r="487" ht="62" customHeight="1">
      <c r="A487" s="10" t="inlineStr">
        <is>
          <t>UAT-MD-020</t>
        </is>
      </c>
      <c r="B487" s="5" t="inlineStr">
        <is>
          <t>ข้อมูลหลัก &amp; Custom Field Builder</t>
        </is>
      </c>
      <c r="C487" s="5" t="inlineStr">
        <is>
          <t>ข้อมูลหลัก (Master Data)</t>
        </is>
      </c>
      <c r="D487" s="5" t="inlineStr">
        <is>
          <t>แสดงผลบนมือถือ 375px (ข้อมูลหลัก (Master Data))</t>
        </is>
      </c>
      <c r="E487" s="10" t="inlineStr">
        <is>
          <t>Responsive</t>
        </is>
      </c>
      <c r="F487" s="5" t="inlineStr">
        <is>
          <t>เข้าสู่ระบบแล้ว; เปิด DevTools โหมดอุปกรณ์ iPhone SE/375×667</t>
        </is>
      </c>
      <c r="G487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487" s="5" t="inlineStr">
        <is>
          <t>ความกว้าง 375px</t>
        </is>
      </c>
      <c r="I487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487" s="10" t="inlineStr">
        <is>
          <t>Medium</t>
        </is>
      </c>
      <c r="K487" s="5" t="inlineStr">
        <is>
          <t>ผู้ดูแลระบบสูงสุด (admin)</t>
        </is>
      </c>
      <c r="L487" s="5" t="n"/>
      <c r="M487" s="10" t="inlineStr">
        <is>
          <t>ยังไม่ทดสอบ</t>
        </is>
      </c>
      <c r="N487" s="5" t="n"/>
      <c r="O487" s="18" t="n"/>
      <c r="P487" s="5" t="n"/>
      <c r="Q487" s="5" t="inlineStr">
        <is>
          <t>e7002c68</t>
        </is>
      </c>
    </row>
    <row r="488" ht="62" customHeight="1">
      <c r="A488" s="10" t="inlineStr">
        <is>
          <t>UAT-MD-021</t>
        </is>
      </c>
      <c r="B488" s="5" t="inlineStr">
        <is>
          <t>ข้อมูลหลัก &amp; Custom Field Builder</t>
        </is>
      </c>
      <c r="C488" s="5" t="inlineStr">
        <is>
          <t>ข้อมูลหลัก (Master Data)</t>
        </is>
      </c>
      <c r="D488" s="5" t="inlineStr">
        <is>
          <t>แสดงผลบน Desktop 1920px และความอ่านง่ายธีมมืด (ข้อมูลหลัก (Master Data))</t>
        </is>
      </c>
      <c r="E488" s="10" t="inlineStr">
        <is>
          <t>UI</t>
        </is>
      </c>
      <c r="F488" s="5" t="inlineStr">
        <is>
          <t>เข้าสู่ระบบแล้ว; หน้าจอ 1920×1080</t>
        </is>
      </c>
      <c r="G488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488" s="5" t="inlineStr">
        <is>
          <t>ความกว้าง 1920px</t>
        </is>
      </c>
      <c r="I488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488" s="10" t="inlineStr">
        <is>
          <t>Low</t>
        </is>
      </c>
      <c r="K488" s="5" t="inlineStr">
        <is>
          <t>ผู้ดูแลระบบสูงสุด (admin)</t>
        </is>
      </c>
      <c r="L488" s="5" t="n"/>
      <c r="M488" s="10" t="inlineStr">
        <is>
          <t>ยังไม่ทดสอบ</t>
        </is>
      </c>
      <c r="N488" s="5" t="n"/>
      <c r="O488" s="18" t="n"/>
      <c r="P488" s="5" t="n"/>
      <c r="Q488" s="5" t="inlineStr">
        <is>
          <t>e7002c68</t>
        </is>
      </c>
    </row>
    <row r="489" ht="62" customHeight="1">
      <c r="A489" s="10" t="inlineStr">
        <is>
          <t>UAT-SET-001</t>
        </is>
      </c>
      <c r="B489" s="5" t="inlineStr">
        <is>
          <t>ตั้งค่าระบบ &amp; การแจ้งเตือน/Cron</t>
        </is>
      </c>
      <c r="C489" s="5" t="inlineStr">
        <is>
          <t>ตั้งค่าระบบ</t>
        </is>
      </c>
      <c r="D489" s="5" t="inlineStr">
        <is>
          <t>แท็บตั้งค่าทั่วไป: ชื่อบริษัท/โลโก้/ธีม</t>
        </is>
      </c>
      <c r="E489" s="10" t="inlineStr">
        <is>
          <t>Functional</t>
        </is>
      </c>
      <c r="F489" s="5" t="inlineStr">
        <is>
          <t>เข้าสู่ระบบแล้ว</t>
        </is>
      </c>
      <c r="G489" s="5" t="inlineStr">
        <is>
          <t>1. แก้ชื่อบริษัท
2. อัปโหลดโลโก้ PNG 500KB
3. เลือกธีม มืด
4. กด "บันทึกการตั้งค่า"</t>
        </is>
      </c>
      <c r="H489" s="5" t="inlineStr">
        <is>
          <t>บริษัท สมาร์ท แอสเซท จำกัด</t>
        </is>
      </c>
      <c r="I489" s="5" t="inlineStr">
        <is>
          <t>toast "บันทึกการตั้งค่าแล้ว"; ชื่อบริษัทแสดงบนป้าย/รายงาน</t>
        </is>
      </c>
      <c r="J489" s="10" t="inlineStr">
        <is>
          <t>Medium</t>
        </is>
      </c>
      <c r="K489" s="5" t="inlineStr">
        <is>
          <t>ผู้ดูแลระบบสูงสุด (admin)</t>
        </is>
      </c>
      <c r="L489" s="5" t="n"/>
      <c r="M489" s="10" t="inlineStr">
        <is>
          <t>ยังไม่ทดสอบ</t>
        </is>
      </c>
      <c r="N489" s="5" t="n"/>
      <c r="O489" s="18" t="n"/>
      <c r="P489" s="5" t="n"/>
      <c r="Q489" s="5" t="inlineStr">
        <is>
          <t>8930fbad</t>
        </is>
      </c>
    </row>
    <row r="490" ht="33" customHeight="1">
      <c r="A490" s="10" t="inlineStr">
        <is>
          <t>UAT-SET-002</t>
        </is>
      </c>
      <c r="B490" s="5" t="inlineStr">
        <is>
          <t>ตั้งค่าระบบ &amp; การแจ้งเตือน/Cron</t>
        </is>
      </c>
      <c r="C490" s="5" t="inlineStr">
        <is>
          <t>ตั้งค่าระบบ</t>
        </is>
      </c>
      <c r="D490" s="5" t="inlineStr">
        <is>
          <t>อัปโหลดโลโก้เกิน 2 MB/ชนิดไม่ถูกต้อง</t>
        </is>
      </c>
      <c r="E490" s="10" t="inlineStr">
        <is>
          <t>Validation</t>
        </is>
      </c>
      <c r="F490" s="5" t="inlineStr">
        <is>
          <t>เข้าสู่ระบบแล้ว</t>
        </is>
      </c>
      <c r="G490" s="5" t="inlineStr">
        <is>
          <t>1. อัปโหลด logo.bmp 3 MB</t>
        </is>
      </c>
      <c r="H490" s="5" t="inlineStr">
        <is>
          <t>-</t>
        </is>
      </c>
      <c r="I490" s="5" t="inlineStr">
        <is>
          <t>แจ้ง PNG/SVG ไม่เกิน 2 MB</t>
        </is>
      </c>
      <c r="J490" s="10" t="inlineStr">
        <is>
          <t>Low</t>
        </is>
      </c>
      <c r="K490" s="5" t="inlineStr">
        <is>
          <t>ผู้ดูแลระบบสูงสุด (admin)</t>
        </is>
      </c>
      <c r="L490" s="5" t="n"/>
      <c r="M490" s="10" t="inlineStr">
        <is>
          <t>ยังไม่ทดสอบ</t>
        </is>
      </c>
      <c r="N490" s="5" t="n"/>
      <c r="O490" s="18" t="n"/>
      <c r="P490" s="5" t="n"/>
      <c r="Q490" s="5" t="inlineStr">
        <is>
          <t>8930fbad</t>
        </is>
      </c>
    </row>
    <row r="491" ht="33" customHeight="1">
      <c r="A491" s="10" t="inlineStr">
        <is>
          <t>UAT-SET-003</t>
        </is>
      </c>
      <c r="B491" s="5" t="inlineStr">
        <is>
          <t>ตั้งค่าระบบ &amp; การแจ้งเตือน/Cron</t>
        </is>
      </c>
      <c r="C491" s="5" t="inlineStr">
        <is>
          <t>ตั้งค่าระบบ</t>
        </is>
      </c>
      <c r="D491" s="5" t="inlineStr">
        <is>
          <t>จำนวนหลัก Asset Tag (3–6)</t>
        </is>
      </c>
      <c r="E491" s="10" t="inlineStr">
        <is>
          <t>Validation</t>
        </is>
      </c>
      <c r="F491" s="5" t="inlineStr">
        <is>
          <t>เข้าสู่ระบบแล้ว</t>
        </is>
      </c>
      <c r="G491" s="5" t="inlineStr">
        <is>
          <t>1. กรอก 2 และ 7
2. กรอก 5 แล้วบันทึก</t>
        </is>
      </c>
      <c r="H491" s="5" t="inlineStr">
        <is>
          <t>-</t>
        </is>
      </c>
      <c r="I491" s="5" t="inlineStr">
        <is>
          <t>ค่า 2/7 ถูกปฏิเสธ; ค่า 5 บันทึกได้และตัวอย่าง Tag แสดง 5 หลัก</t>
        </is>
      </c>
      <c r="J491" s="10" t="inlineStr">
        <is>
          <t>Medium</t>
        </is>
      </c>
      <c r="K491" s="5" t="inlineStr">
        <is>
          <t>ผู้ดูแลระบบสูงสุด (admin)</t>
        </is>
      </c>
      <c r="L491" s="5" t="n"/>
      <c r="M491" s="10" t="inlineStr">
        <is>
          <t>ยังไม่ทดสอบ</t>
        </is>
      </c>
      <c r="N491" s="5" t="n"/>
      <c r="O491" s="18" t="n"/>
      <c r="P491" s="5" t="n"/>
      <c r="Q491" s="5" t="inlineStr">
        <is>
          <t>8930fbad</t>
        </is>
      </c>
    </row>
    <row r="492" ht="47.5" customHeight="1">
      <c r="A492" s="10" t="inlineStr">
        <is>
          <t>UAT-SET-004</t>
        </is>
      </c>
      <c r="B492" s="5" t="inlineStr">
        <is>
          <t>ตั้งค่าระบบ &amp; การแจ้งเตือน/Cron</t>
        </is>
      </c>
      <c r="C492" s="5" t="inlineStr">
        <is>
          <t>ตั้งค่าระบบ</t>
        </is>
      </c>
      <c r="D492" s="5" t="inlineStr">
        <is>
          <t>เกณฑ์ตรวจจับเสียซ้ำและเวลาทำการ SLA</t>
        </is>
      </c>
      <c r="E492" s="10" t="inlineStr">
        <is>
          <t>Functional</t>
        </is>
      </c>
      <c r="F492" s="5" t="inlineStr">
        <is>
          <t>เข้าสู่ระบบแล้ว</t>
        </is>
      </c>
      <c r="G492" s="5" t="inlineStr">
        <is>
          <t>1. ตั้ง ช่วงวัน 180 จำนวนครั้ง 2
2. เวลาเริ่ม 08:00 เลิก 17:00 วันทำงาน จ–ศ
3. บันทึก</t>
        </is>
      </c>
      <c r="H492" s="5" t="inlineStr">
        <is>
          <t>-</t>
        </is>
      </c>
      <c r="I492" s="5" t="inlineStr">
        <is>
          <t>บันทึกสำเร็จ; SLA และรายการ "ควรทำ RCA" ใช้ค่าใหม่</t>
        </is>
      </c>
      <c r="J492" s="10" t="inlineStr">
        <is>
          <t>High</t>
        </is>
      </c>
      <c r="K492" s="5" t="inlineStr">
        <is>
          <t>ผู้จัดการซ่อมบำรุง (maint.mgr)</t>
        </is>
      </c>
      <c r="L492" s="5" t="n"/>
      <c r="M492" s="10" t="inlineStr">
        <is>
          <t>ยังไม่ทดสอบ</t>
        </is>
      </c>
      <c r="N492" s="5" t="n"/>
      <c r="O492" s="18" t="n"/>
      <c r="P492" s="5" t="n"/>
      <c r="Q492" s="5" t="inlineStr">
        <is>
          <t>8930fbad</t>
        </is>
      </c>
    </row>
    <row r="493" ht="33" customHeight="1">
      <c r="A493" s="10" t="inlineStr">
        <is>
          <t>UAT-SET-005</t>
        </is>
      </c>
      <c r="B493" s="5" t="inlineStr">
        <is>
          <t>ตั้งค่าระบบ &amp; การแจ้งเตือน/Cron</t>
        </is>
      </c>
      <c r="C493" s="5" t="inlineStr">
        <is>
          <t>ตั้งค่าระบบ</t>
        </is>
      </c>
      <c r="D493" s="5" t="inlineStr">
        <is>
          <t>เวลาเลิกงานก่อนเวลาเริ่มงาน</t>
        </is>
      </c>
      <c r="E493" s="10" t="inlineStr">
        <is>
          <t>Validation</t>
        </is>
      </c>
      <c r="F493" s="5" t="inlineStr">
        <is>
          <t>เข้าสู่ระบบแล้ว</t>
        </is>
      </c>
      <c r="G493" s="5" t="inlineStr">
        <is>
          <t>1. ตั้งเริ่ม 17:00 เลิก 08:00</t>
        </is>
      </c>
      <c r="H493" s="5" t="inlineStr">
        <is>
          <t>-</t>
        </is>
      </c>
      <c r="I493" s="5" t="inlineStr">
        <is>
          <t>แจ้งข้อผิดพลาด ไม่บันทึก</t>
        </is>
      </c>
      <c r="J493" s="10" t="inlineStr">
        <is>
          <t>Medium</t>
        </is>
      </c>
      <c r="K493" s="5" t="inlineStr">
        <is>
          <t>ผู้ดูแลระบบสูงสุด (admin)</t>
        </is>
      </c>
      <c r="L493" s="5" t="n"/>
      <c r="M493" s="10" t="inlineStr">
        <is>
          <t>ยังไม่ทดสอบ</t>
        </is>
      </c>
      <c r="N493" s="5" t="n"/>
      <c r="O493" s="18" t="n"/>
      <c r="P493" s="5" t="n"/>
      <c r="Q493" s="5" t="inlineStr">
        <is>
          <t>8930fbad</t>
        </is>
      </c>
    </row>
    <row r="494" ht="47.5" customHeight="1">
      <c r="A494" s="10" t="inlineStr">
        <is>
          <t>UAT-SET-006</t>
        </is>
      </c>
      <c r="B494" s="5" t="inlineStr">
        <is>
          <t>ตั้งค่าระบบ &amp; การแจ้งเตือน/Cron</t>
        </is>
      </c>
      <c r="C494" s="5" t="inlineStr">
        <is>
          <t>ตั้งค่าระบบ</t>
        </is>
      </c>
      <c r="D494" s="5" t="inlineStr">
        <is>
          <t>ผังบัญชี GL และวงเงิน PO / VAT</t>
        </is>
      </c>
      <c r="E494" s="10" t="inlineStr">
        <is>
          <t>Functional</t>
        </is>
      </c>
      <c r="F494" s="5" t="inlineStr">
        <is>
          <t>เข้าสู่ระบบแล้ว</t>
        </is>
      </c>
      <c r="G494" s="5" t="inlineStr">
        <is>
          <t>1. แก้ GL ขาดทุนจากการจำหน่าย = 5910
2. วงเงิน PO = 50,000; VAT 7
3. บันทึก</t>
        </is>
      </c>
      <c r="H494" s="5" t="inlineStr">
        <is>
          <t>-</t>
        </is>
      </c>
      <c r="I494" s="5" t="inlineStr">
        <is>
          <t>ค่าบันทึก; JV จำหน่าย/ด้อยค่าใช้ GL ใหม่; PO &gt; 50,000 ต้องอนุมัติ</t>
        </is>
      </c>
      <c r="J494" s="10" t="inlineStr">
        <is>
          <t>High</t>
        </is>
      </c>
      <c r="K494" s="5" t="inlineStr">
        <is>
          <t>บัญชีสินทรัพย์ (account)</t>
        </is>
      </c>
      <c r="L494" s="5" t="n"/>
      <c r="M494" s="10" t="inlineStr">
        <is>
          <t>ยังไม่ทดสอบ</t>
        </is>
      </c>
      <c r="N494" s="5" t="n"/>
      <c r="O494" s="18" t="n"/>
      <c r="P494" s="5" t="n"/>
      <c r="Q494" s="5" t="inlineStr">
        <is>
          <t>8930fbad</t>
        </is>
      </c>
    </row>
    <row r="495" ht="33" customHeight="1">
      <c r="A495" s="10" t="inlineStr">
        <is>
          <t>UAT-SET-007</t>
        </is>
      </c>
      <c r="B495" s="5" t="inlineStr">
        <is>
          <t>ตั้งค่าระบบ &amp; การแจ้งเตือน/Cron</t>
        </is>
      </c>
      <c r="C495" s="5" t="inlineStr">
        <is>
          <t>ตั้งค่าระบบ</t>
        </is>
      </c>
      <c r="D495" s="5" t="inlineStr">
        <is>
          <t>ข้อมูลระบบอ่านอย่างเดียว</t>
        </is>
      </c>
      <c r="E495" s="10" t="inlineStr">
        <is>
          <t>UI</t>
        </is>
      </c>
      <c r="F495" s="5" t="inlineStr">
        <is>
          <t>เข้าสู่ระบบแล้ว</t>
        </is>
      </c>
      <c r="G495" s="5" t="inlineStr">
        <is>
          <t>1. ตรวจการ์ด ข้อมูลระบบ</t>
        </is>
      </c>
      <c r="H495" s="5" t="inlineStr">
        <is>
          <t>-</t>
        </is>
      </c>
      <c r="I495" s="5" t="inlineStr">
        <is>
          <t>แสดงเวอร์ชัน 2.0.0, โหมด Production ฯลฯ แก้ไขไม่ได้</t>
        </is>
      </c>
      <c r="J495" s="10" t="inlineStr">
        <is>
          <t>Low</t>
        </is>
      </c>
      <c r="K495" s="5" t="inlineStr">
        <is>
          <t>ผู้ดูแลระบบสูงสุด (admin)</t>
        </is>
      </c>
      <c r="L495" s="5" t="n"/>
      <c r="M495" s="10" t="inlineStr">
        <is>
          <t>ยังไม่ทดสอบ</t>
        </is>
      </c>
      <c r="N495" s="5" t="n"/>
      <c r="O495" s="18" t="n"/>
      <c r="P495" s="5" t="n"/>
      <c r="Q495" s="5" t="inlineStr">
        <is>
          <t>8930fbad</t>
        </is>
      </c>
    </row>
    <row r="496" ht="76.5" customHeight="1">
      <c r="A496" s="10" t="inlineStr">
        <is>
          <t>UAT-SET-008</t>
        </is>
      </c>
      <c r="B496" s="5" t="inlineStr">
        <is>
          <t>ตั้งค่าระบบ &amp; การแจ้งเตือน/Cron</t>
        </is>
      </c>
      <c r="C496" s="5" t="inlineStr">
        <is>
          <t>การแจ้งเตือน &amp; Cron</t>
        </is>
      </c>
      <c r="D496" s="5" t="inlineStr">
        <is>
          <t>ตั้งค่า LINE Messaging API</t>
        </is>
      </c>
      <c r="E496" s="10" t="inlineStr">
        <is>
          <t>Functional</t>
        </is>
      </c>
      <c r="F496" s="5" t="inlineStr">
        <is>
          <t>มี Channel Access Token/Secret</t>
        </is>
      </c>
      <c r="G496" s="5" t="inlineStr">
        <is>
          <t>1. แท็บ ช่องทางแจ้งเตือน เปิดใช้งาน LINE
2. กรอก Token/Secret/ลิงก์ OA
3. กด ตรวจการเชื่อมต่อ
4. กด ทดสอบส่ง
5. บันทึก</t>
        </is>
      </c>
      <c r="H496" s="5" t="inlineStr">
        <is>
          <t>-</t>
        </is>
      </c>
      <c r="I496" s="5" t="inlineStr">
        <is>
          <t>toast "LINE: เชื่อมต่อสำเร็จ" และ "ส่งข้อความทดสอบสำเร็จ"; Token ถูกเข้ารหัสและไม่แสดงกลับ (ช่องว่าง = ใช้ค่าเดิม)</t>
        </is>
      </c>
      <c r="J496" s="10" t="inlineStr">
        <is>
          <t>High</t>
        </is>
      </c>
      <c r="K496" s="5" t="inlineStr">
        <is>
          <t>ผู้ดูแลระบบ IT (it.admin)</t>
        </is>
      </c>
      <c r="L496" s="5" t="n"/>
      <c r="M496" s="10" t="inlineStr">
        <is>
          <t>ยังไม่ทดสอบ</t>
        </is>
      </c>
      <c r="N496" s="5" t="n"/>
      <c r="O496" s="18" t="n"/>
      <c r="P496" s="5" t="n"/>
      <c r="Q496" s="5" t="inlineStr">
        <is>
          <t>8930fbad</t>
        </is>
      </c>
    </row>
    <row r="497" ht="62" customHeight="1">
      <c r="A497" s="10" t="inlineStr">
        <is>
          <t>UAT-SET-009</t>
        </is>
      </c>
      <c r="B497" s="5" t="inlineStr">
        <is>
          <t>ตั้งค่าระบบ &amp; การแจ้งเตือน/Cron</t>
        </is>
      </c>
      <c r="C497" s="5" t="inlineStr">
        <is>
          <t>การแจ้งเตือน &amp; Cron</t>
        </is>
      </c>
      <c r="D497" s="5" t="inlineStr">
        <is>
          <t>ตั้งค่า Telegram Bot</t>
        </is>
      </c>
      <c r="E497" s="10" t="inlineStr">
        <is>
          <t>Functional</t>
        </is>
      </c>
      <c r="F497" s="5" t="inlineStr">
        <is>
          <t>มี Bot Token</t>
        </is>
      </c>
      <c r="G497" s="5" t="inlineStr">
        <is>
          <t>1. เปิดใช้งาน Telegram
2. กด ตรวจ Token
3. กด ตั้ง Webhook
4. กด ทดสอบ</t>
        </is>
      </c>
      <c r="H497" s="5" t="inlineStr">
        <is>
          <t>-</t>
        </is>
      </c>
      <c r="I497" s="5" t="inlineStr">
        <is>
          <t>toast "Token ถูกต้อง" ชื่อบอทเติมอัตโนมัติ; "ตั้ง Webhook สำเร็จ"; "ส่งข้อความทดสอบสำเร็จ"</t>
        </is>
      </c>
      <c r="J497" s="10" t="inlineStr">
        <is>
          <t>Medium</t>
        </is>
      </c>
      <c r="K497" s="5" t="inlineStr">
        <is>
          <t>ผู้ดูแลระบบ IT (it.admin)</t>
        </is>
      </c>
      <c r="L497" s="5" t="n"/>
      <c r="M497" s="10" t="inlineStr">
        <is>
          <t>ยังไม่ทดสอบ</t>
        </is>
      </c>
      <c r="N497" s="5" t="n"/>
      <c r="O497" s="18" t="n"/>
      <c r="P497" s="5" t="n"/>
      <c r="Q497" s="5" t="inlineStr">
        <is>
          <t>8930fbad</t>
        </is>
      </c>
    </row>
    <row r="498" ht="62" customHeight="1">
      <c r="A498" s="10" t="inlineStr">
        <is>
          <t>UAT-SET-010</t>
        </is>
      </c>
      <c r="B498" s="5" t="inlineStr">
        <is>
          <t>ตั้งค่าระบบ &amp; การแจ้งเตือน/Cron</t>
        </is>
      </c>
      <c r="C498" s="5" t="inlineStr">
        <is>
          <t>การแจ้งเตือน &amp; Cron</t>
        </is>
      </c>
      <c r="D498" s="5" t="inlineStr">
        <is>
          <t>ตั้งค่า Email SMTP และทดสอบส่ง</t>
        </is>
      </c>
      <c r="E498" s="10" t="inlineStr">
        <is>
          <t>Functional</t>
        </is>
      </c>
      <c r="F498" s="5" t="inlineStr">
        <is>
          <t>มีบัญชี SMTP</t>
        </is>
      </c>
      <c r="G498" s="5" t="inlineStr">
        <is>
          <t>1. เลือก SMTP STARTTLS (587) กรอก Host/Port/ผู้ใช้/รหัส/อีเมลผู้ส่ง
2. กด ทดสอบส่ง
3. บันทึก</t>
        </is>
      </c>
      <c r="H498" s="5" t="inlineStr">
        <is>
          <t>smtp.office365.com:587</t>
        </is>
      </c>
      <c r="I498" s="5" t="inlineStr">
        <is>
          <t>toast "Email: ส่งอีเมลทดสอบสำเร็จ"; ได้รับอีเมลจริง</t>
        </is>
      </c>
      <c r="J498" s="10" t="inlineStr">
        <is>
          <t>High</t>
        </is>
      </c>
      <c r="K498" s="5" t="inlineStr">
        <is>
          <t>ผู้ดูแลระบบ IT (it.admin)</t>
        </is>
      </c>
      <c r="L498" s="5" t="n"/>
      <c r="M498" s="10" t="inlineStr">
        <is>
          <t>ยังไม่ทดสอบ</t>
        </is>
      </c>
      <c r="N498" s="5" t="n"/>
      <c r="O498" s="18" t="n"/>
      <c r="P498" s="5" t="n"/>
      <c r="Q498" s="5" t="inlineStr">
        <is>
          <t>8930fbad</t>
        </is>
      </c>
    </row>
    <row r="499" ht="33" customHeight="1">
      <c r="A499" s="10" t="inlineStr">
        <is>
          <t>UAT-SET-011</t>
        </is>
      </c>
      <c r="B499" s="5" t="inlineStr">
        <is>
          <t>ตั้งค่าระบบ &amp; การแจ้งเตือน/Cron</t>
        </is>
      </c>
      <c r="C499" s="5" t="inlineStr">
        <is>
          <t>การแจ้งเตือน &amp; Cron</t>
        </is>
      </c>
      <c r="D499" s="5" t="inlineStr">
        <is>
          <t>Token/รหัสผ่านผิด</t>
        </is>
      </c>
      <c r="E499" s="10" t="inlineStr">
        <is>
          <t>Negative</t>
        </is>
      </c>
      <c r="F499" s="5" t="inlineStr">
        <is>
          <t>เข้าสู่ระบบแล้ว</t>
        </is>
      </c>
      <c r="G499" s="5" t="inlineStr">
        <is>
          <t>1. กรอก LINE Token ผิด กดตรวจการเชื่อมต่อ</t>
        </is>
      </c>
      <c r="H499" s="5" t="inlineStr">
        <is>
          <t>-</t>
        </is>
      </c>
      <c r="I499" s="5" t="inlineStr">
        <is>
          <t>แสดงข้อความล้มเหลวภาษาไทย ไม่บันทึกสถานะเชื่อมต่อ</t>
        </is>
      </c>
      <c r="J499" s="10" t="inlineStr">
        <is>
          <t>Medium</t>
        </is>
      </c>
      <c r="K499" s="5" t="inlineStr">
        <is>
          <t>ผู้ดูแลระบบ IT (it.admin)</t>
        </is>
      </c>
      <c r="L499" s="5" t="n"/>
      <c r="M499" s="10" t="inlineStr">
        <is>
          <t>ยังไม่ทดสอบ</t>
        </is>
      </c>
      <c r="N499" s="5" t="n"/>
      <c r="O499" s="18" t="n"/>
      <c r="P499" s="5" t="n"/>
      <c r="Q499" s="5" t="inlineStr">
        <is>
          <t>8930fbad</t>
        </is>
      </c>
    </row>
    <row r="500" ht="33" customHeight="1">
      <c r="A500" s="10" t="inlineStr">
        <is>
          <t>UAT-SET-012</t>
        </is>
      </c>
      <c r="B500" s="5" t="inlineStr">
        <is>
          <t>ตั้งค่าระบบ &amp; การแจ้งเตือน/Cron</t>
        </is>
      </c>
      <c r="C500" s="5" t="inlineStr">
        <is>
          <t>การแจ้งเตือน &amp; Cron</t>
        </is>
      </c>
      <c r="D500" s="5" t="inlineStr">
        <is>
          <t>คัดลอก Webhook URL</t>
        </is>
      </c>
      <c r="E500" s="10" t="inlineStr">
        <is>
          <t>Functional</t>
        </is>
      </c>
      <c r="F500" s="5" t="inlineStr">
        <is>
          <t>เข้าสู่ระบบแล้ว</t>
        </is>
      </c>
      <c r="G500" s="5" t="inlineStr">
        <is>
          <t>1. คลิกไอคอนคัดลอก Webhook URL</t>
        </is>
      </c>
      <c r="H500" s="5" t="inlineStr">
        <is>
          <t>-</t>
        </is>
      </c>
      <c r="I500" s="5" t="inlineStr">
        <is>
          <t>คัดลอกสำเร็จ toast "คัดลอก …"</t>
        </is>
      </c>
      <c r="J500" s="10" t="inlineStr">
        <is>
          <t>Low</t>
        </is>
      </c>
      <c r="K500" s="5" t="inlineStr">
        <is>
          <t>ผู้ดูแลระบบ IT (it.admin)</t>
        </is>
      </c>
      <c r="L500" s="5" t="n"/>
      <c r="M500" s="10" t="inlineStr">
        <is>
          <t>ยังไม่ทดสอบ</t>
        </is>
      </c>
      <c r="N500" s="5" t="n"/>
      <c r="O500" s="18" t="n"/>
      <c r="P500" s="5" t="n"/>
      <c r="Q500" s="5" t="inlineStr">
        <is>
          <t>8930fbad</t>
        </is>
      </c>
    </row>
    <row r="501" ht="62" customHeight="1">
      <c r="A501" s="10" t="inlineStr">
        <is>
          <t>UAT-SET-013</t>
        </is>
      </c>
      <c r="B501" s="5" t="inlineStr">
        <is>
          <t>ตั้งค่าระบบ &amp; การแจ้งเตือน/Cron</t>
        </is>
      </c>
      <c r="C501" s="5" t="inlineStr">
        <is>
          <t>การแจ้งเตือน &amp; Cron</t>
        </is>
      </c>
      <c r="D501" s="5" t="inlineStr">
        <is>
          <t>กฎการแจ้งเตือน (หมวด × ช่องทาง × ระดับ)</t>
        </is>
      </c>
      <c r="E501" s="10" t="inlineStr">
        <is>
          <t>Functional</t>
        </is>
      </c>
      <c r="F501" s="5" t="inlineStr">
        <is>
          <t>เข้าสู่ระบบแล้ว</t>
        </is>
      </c>
      <c r="G501" s="5" t="inlineStr">
        <is>
          <t>1. แท็บ กฎการแจ้งเตือน ติ๊ก LINE ของหมวด ใบงาน &amp; แจ้งซ่อม ระดับ ≥ ด่วน
2. กด บันทึกกฎ
3. สร้าง WO P1 และ P3</t>
        </is>
      </c>
      <c r="H501" s="5" t="inlineStr">
        <is>
          <t>-</t>
        </is>
      </c>
      <c r="I501" s="5" t="inlineStr">
        <is>
          <t>toast "บันทึกกฎการแจ้งเตือนแล้ว"; P1 (ด่วน) ส่ง LINE, P3 ไม่ส่ง LINE แต่กระดิ่งในระบบส่งเสมอ</t>
        </is>
      </c>
      <c r="J501" s="10" t="inlineStr">
        <is>
          <t>High</t>
        </is>
      </c>
      <c r="K501" s="5" t="inlineStr">
        <is>
          <t>ผู้ดูแลระบบ IT (it.admin)</t>
        </is>
      </c>
      <c r="L501" s="5" t="n"/>
      <c r="M501" s="10" t="inlineStr">
        <is>
          <t>ยังไม่ทดสอบ</t>
        </is>
      </c>
      <c r="N501" s="5" t="n"/>
      <c r="O501" s="18" t="n"/>
      <c r="P501" s="5" t="n"/>
      <c r="Q501" s="5" t="inlineStr">
        <is>
          <t>8930fbad</t>
        </is>
      </c>
    </row>
    <row r="502" ht="47.5" customHeight="1">
      <c r="A502" s="10" t="inlineStr">
        <is>
          <t>UAT-SET-014</t>
        </is>
      </c>
      <c r="B502" s="5" t="inlineStr">
        <is>
          <t>ตั้งค่าระบบ &amp; การแจ้งเตือน/Cron</t>
        </is>
      </c>
      <c r="C502" s="5" t="inlineStr">
        <is>
          <t>การแจ้งเตือน &amp; Cron</t>
        </is>
      </c>
      <c r="D502" s="5" t="inlineStr">
        <is>
          <t>งานตั้งเวลา (Cron): รันเลย/ดูประวัติ</t>
        </is>
      </c>
      <c r="E502" s="10" t="inlineStr">
        <is>
          <t>Functional</t>
        </is>
      </c>
      <c r="F502" s="5" t="inlineStr">
        <is>
          <t>Cron ตั้งค่าแล้ว</t>
        </is>
      </c>
      <c r="G502" s="5" t="inlineStr">
        <is>
          <t>1. แท็บ งานตั้งเวลา
2. กด "รันเลย" ที่ สร้างใบงาน PM ที่ถึงรอบ
3. กด "ประวัติ"</t>
        </is>
      </c>
      <c r="H502" s="5" t="inlineStr">
        <is>
          <t>-</t>
        </is>
      </c>
      <c r="I502" s="5" t="inlineStr">
        <is>
          <t>ตารางแสดง งาน, รอบเวลา, ล่าสุด, ผล, ใช้เวลา; รันแล้วผลอัปเดต (สำเร็จ/ผิดพลาด) และประวัติแสดงรายการล่าสุด; Audit cron_run</t>
        </is>
      </c>
      <c r="J502" s="10" t="inlineStr">
        <is>
          <t>Medium</t>
        </is>
      </c>
      <c r="K502" s="5" t="inlineStr">
        <is>
          <t>ผู้ดูแลระบบ IT (it.admin)</t>
        </is>
      </c>
      <c r="L502" s="5" t="n"/>
      <c r="M502" s="10" t="inlineStr">
        <is>
          <t>ยังไม่ทดสอบ</t>
        </is>
      </c>
      <c r="N502" s="5" t="n"/>
      <c r="O502" s="18" t="n"/>
      <c r="P502" s="5" t="n"/>
      <c r="Q502" s="5" t="inlineStr">
        <is>
          <t>8930fbad</t>
        </is>
      </c>
    </row>
    <row r="503" ht="33" customHeight="1">
      <c r="A503" s="10" t="inlineStr">
        <is>
          <t>UAT-SET-015</t>
        </is>
      </c>
      <c r="B503" s="5" t="inlineStr">
        <is>
          <t>ตั้งค่าระบบ &amp; การแจ้งเตือน/Cron</t>
        </is>
      </c>
      <c r="C503" s="5" t="inlineStr">
        <is>
          <t>การแจ้งเตือน &amp; Cron</t>
        </is>
      </c>
      <c r="D503" s="5" t="inlineStr">
        <is>
          <t>สถานะเตือนเมื่อ Cron ไม่ทำงาน</t>
        </is>
      </c>
      <c r="E503" s="10" t="inlineStr">
        <is>
          <t>UI</t>
        </is>
      </c>
      <c r="F503" s="5" t="inlineStr">
        <is>
          <t>ยังไม่ตั้ง crontab</t>
        </is>
      </c>
      <c r="G503" s="5" t="inlineStr">
        <is>
          <t>1. เปิดแท็บ งานตั้งเวลา</t>
        </is>
      </c>
      <c r="H503" s="5" t="inlineStr">
        <is>
          <t>-</t>
        </is>
      </c>
      <c r="I503" s="5" t="inlineStr">
        <is>
          <t>แสดงคำเตือน "ยังไม่พบการทำงานของ cron" และคำสั่ง crontab/Task Scheduler ให้คัดลอก</t>
        </is>
      </c>
      <c r="J503" s="10" t="inlineStr">
        <is>
          <t>Low</t>
        </is>
      </c>
      <c r="K503" s="5" t="inlineStr">
        <is>
          <t>ผู้ดูแลระบบ IT (it.admin)</t>
        </is>
      </c>
      <c r="L503" s="5" t="n"/>
      <c r="M503" s="10" t="inlineStr">
        <is>
          <t>ยังไม่ทดสอบ</t>
        </is>
      </c>
      <c r="N503" s="5" t="n"/>
      <c r="O503" s="18" t="n"/>
      <c r="P503" s="5" t="n"/>
      <c r="Q503" s="5" t="inlineStr">
        <is>
          <t>8930fbad</t>
        </is>
      </c>
    </row>
    <row r="504" ht="33" customHeight="1">
      <c r="A504" s="10" t="inlineStr">
        <is>
          <t>UAT-SET-016</t>
        </is>
      </c>
      <c r="B504" s="5" t="inlineStr">
        <is>
          <t>ตั้งค่าระบบ &amp; การแจ้งเตือน/Cron</t>
        </is>
      </c>
      <c r="C504" s="5" t="inlineStr">
        <is>
          <t>การแจ้งเตือน &amp; Cron</t>
        </is>
      </c>
      <c r="D504" s="5" t="inlineStr">
        <is>
          <t>ผู้ไม่ใช่ผู้ดูแลแก้ตั้งค่าไม่ได้</t>
        </is>
      </c>
      <c r="E504" s="10" t="inlineStr">
        <is>
          <t>Permission</t>
        </is>
      </c>
      <c r="F504" s="5" t="inlineStr">
        <is>
          <t>ล็อกอิน maint.mgr</t>
        </is>
      </c>
      <c r="G504" s="5" t="inlineStr">
        <is>
          <t>1. เปิด URL ตั้งค่าระบบ</t>
        </is>
      </c>
      <c r="H504" s="5" t="inlineStr">
        <is>
          <t>-</t>
        </is>
      </c>
      <c r="I504" s="5" t="inlineStr">
        <is>
          <t>ถูกปฏิเสธ</t>
        </is>
      </c>
      <c r="J504" s="10" t="inlineStr">
        <is>
          <t>High</t>
        </is>
      </c>
      <c r="K504" s="5" t="inlineStr">
        <is>
          <t>ผู้จัดการซ่อมบำรุง (maint.mgr)</t>
        </is>
      </c>
      <c r="L504" s="5" t="n"/>
      <c r="M504" s="10" t="inlineStr">
        <is>
          <t>ยังไม่ทดสอบ</t>
        </is>
      </c>
      <c r="N504" s="5" t="n"/>
      <c r="O504" s="18" t="n"/>
      <c r="P504" s="5" t="n"/>
      <c r="Q504" s="5" t="inlineStr">
        <is>
          <t>8930fbad</t>
        </is>
      </c>
    </row>
    <row r="505" ht="33" customHeight="1">
      <c r="A505" s="10" t="inlineStr">
        <is>
          <t>UAT-SET-017</t>
        </is>
      </c>
      <c r="B505" s="5" t="inlineStr">
        <is>
          <t>ตั้งค่าระบบ &amp; การแจ้งเตือน/Cron</t>
        </is>
      </c>
      <c r="C505" s="5" t="inlineStr">
        <is>
          <t>ตั้งค่าระบบ &amp; การแจ้งเตือน</t>
        </is>
      </c>
      <c r="D505" s="5" t="inlineStr">
        <is>
          <t>ค้นหาไม่พบข้อมูล (ตั้งค่าระบบ &amp; การแจ้งเตือน)</t>
        </is>
      </c>
      <c r="E505" s="10" t="inlineStr">
        <is>
          <t>Negative</t>
        </is>
      </c>
      <c r="F505" s="5" t="inlineStr">
        <is>
          <t>เข้าสู่ระบบแล้ว และอยู่ที่หน้าตั้งค่าระบบ &amp; การแจ้งเตือน</t>
        </is>
      </c>
      <c r="G505" s="5" t="inlineStr">
        <is>
          <t>1. พิมพ์คำค้นที่ไม่มีอยู่จริงในช่อง "ค้นหาทรัพย์สิน ใบงาน เมนู…"
2. สังเกตตาราง/รายการ</t>
        </is>
      </c>
      <c r="H505" s="5" t="inlineStr">
        <is>
          <t>คำค้น: ZZZ-NOTFOUND-999</t>
        </is>
      </c>
      <c r="I505" s="5" t="inlineStr">
        <is>
          <t>ตารางแสดงข้อความว่างภาษาไทย (เช่น "ไม่พบ...ตามตัวกรอง") ไม่แสดง error และ pagination/ตัวนับปรับเป็น 0 รายการ</t>
        </is>
      </c>
      <c r="J505" s="10" t="inlineStr">
        <is>
          <t>Low</t>
        </is>
      </c>
      <c r="K505" s="5" t="inlineStr">
        <is>
          <t>ผู้ดูแลระบบ IT (it.admin)</t>
        </is>
      </c>
      <c r="L505" s="5" t="n"/>
      <c r="M505" s="10" t="inlineStr">
        <is>
          <t>ยังไม่ทดสอบ</t>
        </is>
      </c>
      <c r="N505" s="5" t="n"/>
      <c r="O505" s="18" t="n"/>
      <c r="P505" s="5" t="n"/>
      <c r="Q505" s="5" t="inlineStr">
        <is>
          <t>8930fbad</t>
        </is>
      </c>
    </row>
    <row r="506" ht="47.5" customHeight="1">
      <c r="A506" s="10" t="inlineStr">
        <is>
          <t>UAT-SET-018</t>
        </is>
      </c>
      <c r="B506" s="5" t="inlineStr">
        <is>
          <t>ตั้งค่าระบบ &amp; การแจ้งเตือน/Cron</t>
        </is>
      </c>
      <c r="C506" s="5" t="inlineStr">
        <is>
          <t>ตั้งค่าระบบ &amp; การแจ้งเตือน</t>
        </is>
      </c>
      <c r="D506" s="5" t="inlineStr">
        <is>
          <t>ค้นหาด้วยคำค้นที่มีอยู่จริง (ตั้งค่าระบบ &amp; การแจ้งเตือน)</t>
        </is>
      </c>
      <c r="E506" s="10" t="inlineStr">
        <is>
          <t>Functional</t>
        </is>
      </c>
      <c r="F506" s="5" t="inlineStr">
        <is>
          <t>เข้าสู่ระบบแล้ว และอยู่ที่หน้าตั้งค่าระบบ &amp; การแจ้งเตือน</t>
        </is>
      </c>
      <c r="G506" s="5" t="inlineStr">
        <is>
          <t>1. พิมพ์คำค้นในช่อง "ค้นหาทรัพย์สิน ใบงาน เมนู…"
2. ตรวจรายการที่แสดง
3. ล้างคำค้น</t>
        </is>
      </c>
      <c r="H506" s="5" t="inlineStr">
        <is>
          <t>คำค้น: Cron</t>
        </is>
      </c>
      <c r="I506" s="5" t="inlineStr">
        <is>
          <t>แสดงเฉพาะรายการที่ตรงกับคำค้น (เมนู การแจ้งเตือน &amp; Cron); เมื่อล้างคำค้นรายการกลับมาครบ</t>
        </is>
      </c>
      <c r="J506" s="10" t="inlineStr">
        <is>
          <t>Medium</t>
        </is>
      </c>
      <c r="K506" s="5" t="inlineStr">
        <is>
          <t>ผู้ดูแลระบบ IT (it.admin)</t>
        </is>
      </c>
      <c r="L506" s="5" t="n"/>
      <c r="M506" s="10" t="inlineStr">
        <is>
          <t>ยังไม่ทดสอบ</t>
        </is>
      </c>
      <c r="N506" s="5" t="n"/>
      <c r="O506" s="18" t="n"/>
      <c r="P506" s="5" t="n"/>
      <c r="Q506" s="5" t="inlineStr">
        <is>
          <t>8930fbad</t>
        </is>
      </c>
    </row>
    <row r="507" ht="62" customHeight="1">
      <c r="A507" s="10" t="inlineStr">
        <is>
          <t>UAT-SET-019</t>
        </is>
      </c>
      <c r="B507" s="5" t="inlineStr">
        <is>
          <t>ตั้งค่าระบบ &amp; การแจ้งเตือน/Cron</t>
        </is>
      </c>
      <c r="C507" s="5" t="inlineStr">
        <is>
          <t>ตั้งค่าระบบ &amp; การแจ้งเตือน</t>
        </is>
      </c>
      <c r="D507" s="5" t="inlineStr">
        <is>
          <t>แสดงผลบนมือถือ 375px (ตั้งค่าระบบ &amp; การแจ้งเตือน)</t>
        </is>
      </c>
      <c r="E507" s="10" t="inlineStr">
        <is>
          <t>Responsive</t>
        </is>
      </c>
      <c r="F507" s="5" t="inlineStr">
        <is>
          <t>เข้าสู่ระบบแล้ว; เปิด DevTools โหมดอุปกรณ์ iPhone SE/375×667</t>
        </is>
      </c>
      <c r="G507" s="5" t="inlineStr">
        <is>
          <t>1. เปิดหน้าจอที่ความกว้าง 375px
2. เปิด/ปิดเมนูด้านซ้ายด้วยปุ่มแฮมเบอร์เกอร์
3. เลื่อนตาราง/การ์ดในแนวนอน-แนวตั้ง
4. เปิดฟอร์ม/Drawer หลักของหน้า (ถ้ามี)</t>
        </is>
      </c>
      <c r="H507" s="5" t="inlineStr">
        <is>
          <t>ความกว้าง 375px</t>
        </is>
      </c>
      <c r="I507" s="5" t="inlineStr">
        <is>
          <t>Sidebar ซ่อนเป็น off-canvas; KPI การ์ดเรียงลงแนวตั้ง; ตารางเลื่อนแนวนอนได้โดยไม่ล้นจอ; ปุ่ม/ข้อความไม่ถูกตัด; Modal/Drawer เต็มจอและปิดได้</t>
        </is>
      </c>
      <c r="J507" s="10" t="inlineStr">
        <is>
          <t>Medium</t>
        </is>
      </c>
      <c r="K507" s="5" t="inlineStr">
        <is>
          <t>ผู้ดูแลระบบ IT (it.admin)</t>
        </is>
      </c>
      <c r="L507" s="5" t="n"/>
      <c r="M507" s="10" t="inlineStr">
        <is>
          <t>ยังไม่ทดสอบ</t>
        </is>
      </c>
      <c r="N507" s="5" t="n"/>
      <c r="O507" s="18" t="n"/>
      <c r="P507" s="5" t="n"/>
      <c r="Q507" s="5" t="inlineStr">
        <is>
          <t>8930fbad</t>
        </is>
      </c>
    </row>
    <row r="508" ht="62" customHeight="1">
      <c r="A508" s="10" t="inlineStr">
        <is>
          <t>UAT-SET-020</t>
        </is>
      </c>
      <c r="B508" s="5" t="inlineStr">
        <is>
          <t>ตั้งค่าระบบ &amp; การแจ้งเตือน/Cron</t>
        </is>
      </c>
      <c r="C508" s="5" t="inlineStr">
        <is>
          <t>ตั้งค่าระบบ &amp; การแจ้งเตือน</t>
        </is>
      </c>
      <c r="D508" s="5" t="inlineStr">
        <is>
          <t>แสดงผลบน Desktop 1920px และความอ่านง่ายธีมมืด (ตั้งค่าระบบ &amp; การแจ้งเตือน)</t>
        </is>
      </c>
      <c r="E508" s="10" t="inlineStr">
        <is>
          <t>UI</t>
        </is>
      </c>
      <c r="F508" s="5" t="inlineStr">
        <is>
          <t>เข้าสู่ระบบแล้ว; หน้าจอ 1920×1080</t>
        </is>
      </c>
      <c r="G508" s="5" t="inlineStr">
        <is>
          <t>1. เปิดหน้าจอที่ความกว้าง 1920px
2. ตรวจ layout กริด, การ์ด, กราฟ, ตาราง
3. ตรวจความคมชัดตัวอักษรบนพื้นหลัง navy (#0A1024) และ chip สถานะ</t>
        </is>
      </c>
      <c r="H508" s="5" t="inlineStr">
        <is>
          <t>ความกว้าง 1920px</t>
        </is>
      </c>
      <c r="I508" s="5" t="inlineStr">
        <is>
          <t>Layout ใช้พื้นที่เต็มไม่มีช่องว่างผิดปกติ; ตัวอักษรไทย (Noto Sans Thai) อ่านง่าย contrast ≥ 4.5:1; ป้ายกราฟ/legend ไม่ถูกตัด; สี chip ตรงความหมาย (แดง=เกินกำหนด, เหลือง=เตือน, เขียว=เสร็จ, ฟ้า=กำลังทำ, ม่วง=มอบหมาย)</t>
        </is>
      </c>
      <c r="J508" s="10" t="inlineStr">
        <is>
          <t>Low</t>
        </is>
      </c>
      <c r="K508" s="5" t="inlineStr">
        <is>
          <t>ผู้ดูแลระบบ IT (it.admin)</t>
        </is>
      </c>
      <c r="L508" s="5" t="n"/>
      <c r="M508" s="10" t="inlineStr">
        <is>
          <t>ยังไม่ทดสอบ</t>
        </is>
      </c>
      <c r="N508" s="5" t="n"/>
      <c r="O508" s="18" t="n"/>
      <c r="P508" s="5" t="n"/>
      <c r="Q508" s="5" t="inlineStr">
        <is>
          <t>8930fbad</t>
        </is>
      </c>
    </row>
    <row r="509" ht="47.5" customHeight="1">
      <c r="A509" s="10" t="inlineStr">
        <is>
          <t>UAT-API-001</t>
        </is>
      </c>
      <c r="B509" s="5" t="inlineStr">
        <is>
          <t>REST API &amp; Token</t>
        </is>
      </c>
      <c r="C509" s="5" t="inlineStr">
        <is>
          <t>REST API &amp; Token</t>
        </is>
      </c>
      <c r="D509" s="5" t="inlineStr">
        <is>
          <t>สร้าง API Token</t>
        </is>
      </c>
      <c r="E509" s="10" t="inlineStr">
        <is>
          <t>Functional</t>
        </is>
      </c>
      <c r="F509" s="5" t="inlineStr">
        <is>
          <t>มีสิทธิ์จัดการ API Token</t>
        </is>
      </c>
      <c r="G509" s="5" t="inlineStr">
        <is>
          <t>1. เปิดเมนู REST API &amp; Token
2. กด "สร้าง token"
3. ระบุชื่อ ขอบเขต (scope) วันหมดอายุ</t>
        </is>
      </c>
      <c r="H509" s="5" t="inlineStr">
        <is>
          <t>ERP-Integration; assets:read, workorders:read</t>
        </is>
      </c>
      <c r="I509" s="5" t="inlineStr">
        <is>
          <t>แสดง token รูปแบบ seam_… เพียงครั้งเดียว; การ์ด API Token แสดงรายการ; Audit Log บันทึก</t>
        </is>
      </c>
      <c r="J509" s="10" t="inlineStr">
        <is>
          <t>High</t>
        </is>
      </c>
      <c r="K509" s="5" t="inlineStr">
        <is>
          <t>ผู้ดูแลระบบ IT (it.admin)</t>
        </is>
      </c>
      <c r="L509" s="5" t="n"/>
      <c r="M509" s="10" t="inlineStr">
        <is>
          <t>ยังไม่ทดสอบ</t>
        </is>
      </c>
      <c r="N509" s="5" t="n"/>
      <c r="O509" s="18" t="n"/>
      <c r="P509" s="5" t="inlineStr">
        <is>
          <t>ยังไม่มีหน้าจอ mockup — ทดสอบตามข้อกำหนดจากระบบเดิม SmartEAM 360</t>
        </is>
      </c>
      <c r="Q509" s="5" t="inlineStr">
        <is>
          <t>— (ไม่มี mockup)</t>
        </is>
      </c>
    </row>
    <row r="510" ht="33" customHeight="1">
      <c r="A510" s="10" t="inlineStr">
        <is>
          <t>UAT-API-002</t>
        </is>
      </c>
      <c r="B510" s="5" t="inlineStr">
        <is>
          <t>REST API &amp; Token</t>
        </is>
      </c>
      <c r="C510" s="5" t="inlineStr">
        <is>
          <t>REST API &amp; Token</t>
        </is>
      </c>
      <c r="D510" s="5" t="inlineStr">
        <is>
          <t>เรียก GET /api/v1/me</t>
        </is>
      </c>
      <c r="E510" s="10" t="inlineStr">
        <is>
          <t>Functional</t>
        </is>
      </c>
      <c r="F510" s="5" t="inlineStr">
        <is>
          <t>มี token</t>
        </is>
      </c>
      <c r="G510" s="5" t="inlineStr">
        <is>
          <t>1. เรียก GET /api/v1/me พร้อม Header Authorization: Bearer seam_…</t>
        </is>
      </c>
      <c r="H510" s="5" t="inlineStr">
        <is>
          <t>-</t>
        </is>
      </c>
      <c r="I510" s="5" t="inlineStr">
        <is>
          <t>HTTP 200 คืนข้อมูล token และผู้ใช้เจ้าของ</t>
        </is>
      </c>
      <c r="J510" s="10" t="inlineStr">
        <is>
          <t>High</t>
        </is>
      </c>
      <c r="K510" s="5" t="inlineStr">
        <is>
          <t>ผู้ดูแลระบบ IT (it.admin)</t>
        </is>
      </c>
      <c r="L510" s="5" t="n"/>
      <c r="M510" s="10" t="inlineStr">
        <is>
          <t>ยังไม่ทดสอบ</t>
        </is>
      </c>
      <c r="N510" s="5" t="n"/>
      <c r="O510" s="18" t="n"/>
      <c r="P510" s="5" t="inlineStr">
        <is>
          <t>ยังไม่มีหน้าจอ mockup — ทดสอบตามข้อกำหนดจากระบบเดิม SmartEAM 360</t>
        </is>
      </c>
      <c r="Q510" s="5" t="inlineStr">
        <is>
          <t>— (ไม่มี mockup)</t>
        </is>
      </c>
    </row>
    <row r="511" ht="33" customHeight="1">
      <c r="A511" s="10" t="inlineStr">
        <is>
          <t>UAT-API-003</t>
        </is>
      </c>
      <c r="B511" s="5" t="inlineStr">
        <is>
          <t>REST API &amp; Token</t>
        </is>
      </c>
      <c r="C511" s="5" t="inlineStr">
        <is>
          <t>REST API &amp; Token</t>
        </is>
      </c>
      <c r="D511" s="5" t="inlineStr">
        <is>
          <t>เรียก GET /api/v1/assets ตามขอบเขตข้อมูล</t>
        </is>
      </c>
      <c r="E511" s="10" t="inlineStr">
        <is>
          <t>Permission</t>
        </is>
      </c>
      <c r="F511" s="5" t="inlineStr">
        <is>
          <t>token ของผู้ใช้ขอบเขต ไซต์ของตน</t>
        </is>
      </c>
      <c r="G511" s="5" t="inlineStr">
        <is>
          <t>1. เรียก GET /api/v1/assets</t>
        </is>
      </c>
      <c r="H511" s="5" t="inlineStr">
        <is>
          <t>-</t>
        </is>
      </c>
      <c r="I511" s="5" t="inlineStr">
        <is>
          <t>คืนเฉพาะทรัพย์สินในไซต์ของเจ้าของ token; วันที่เป็น ค.ศ. ISO</t>
        </is>
      </c>
      <c r="J511" s="10" t="inlineStr">
        <is>
          <t>High</t>
        </is>
      </c>
      <c r="K511" s="5" t="inlineStr">
        <is>
          <t>ผู้ดูแลระบบ IT (it.admin)</t>
        </is>
      </c>
      <c r="L511" s="5" t="n"/>
      <c r="M511" s="10" t="inlineStr">
        <is>
          <t>ยังไม่ทดสอบ</t>
        </is>
      </c>
      <c r="N511" s="5" t="n"/>
      <c r="O511" s="18" t="n"/>
      <c r="P511" s="5" t="inlineStr">
        <is>
          <t>ยังไม่มีหน้าจอ mockup — ทดสอบตามข้อกำหนดจากระบบเดิม SmartEAM 360</t>
        </is>
      </c>
      <c r="Q511" s="5" t="inlineStr">
        <is>
          <t>— (ไม่มี mockup)</t>
        </is>
      </c>
    </row>
    <row r="512" ht="33" customHeight="1">
      <c r="A512" s="10" t="inlineStr">
        <is>
          <t>UAT-API-004</t>
        </is>
      </c>
      <c r="B512" s="5" t="inlineStr">
        <is>
          <t>REST API &amp; Token</t>
        </is>
      </c>
      <c r="C512" s="5" t="inlineStr">
        <is>
          <t>REST API &amp; Token</t>
        </is>
      </c>
      <c r="D512" s="5" t="inlineStr">
        <is>
          <t>GET /api/v1/assets/{tag}</t>
        </is>
      </c>
      <c r="E512" s="10" t="inlineStr">
        <is>
          <t>Functional</t>
        </is>
      </c>
      <c r="F512" s="5" t="inlineStr">
        <is>
          <t>มี token assets:read</t>
        </is>
      </c>
      <c r="G512" s="5" t="inlineStr">
        <is>
          <t>1. เรียก GET /api/v1/assets/MTR-007</t>
        </is>
      </c>
      <c r="H512" s="5" t="inlineStr">
        <is>
          <t>-</t>
        </is>
      </c>
      <c r="I512" s="5" t="inlineStr">
        <is>
          <t>คืนรายละเอียด + มิเตอร์ + ใบงานเปิด + PM ถัดไป</t>
        </is>
      </c>
      <c r="J512" s="10" t="inlineStr">
        <is>
          <t>Medium</t>
        </is>
      </c>
      <c r="K512" s="5" t="inlineStr">
        <is>
          <t>ผู้ดูแลระบบ IT (it.admin)</t>
        </is>
      </c>
      <c r="L512" s="5" t="n"/>
      <c r="M512" s="10" t="inlineStr">
        <is>
          <t>ยังไม่ทดสอบ</t>
        </is>
      </c>
      <c r="N512" s="5" t="n"/>
      <c r="O512" s="18" t="n"/>
      <c r="P512" s="5" t="inlineStr">
        <is>
          <t>ยังไม่มีหน้าจอ mockup — ทดสอบตามข้อกำหนดจากระบบเดิม SmartEAM 360</t>
        </is>
      </c>
      <c r="Q512" s="5" t="inlineStr">
        <is>
          <t>— (ไม่มี mockup)</t>
        </is>
      </c>
    </row>
    <row r="513" ht="33" customHeight="1">
      <c r="A513" s="10" t="inlineStr">
        <is>
          <t>UAT-API-005</t>
        </is>
      </c>
      <c r="B513" s="5" t="inlineStr">
        <is>
          <t>REST API &amp; Token</t>
        </is>
      </c>
      <c r="C513" s="5" t="inlineStr">
        <is>
          <t>REST API &amp; Token</t>
        </is>
      </c>
      <c r="D513" s="5" t="inlineStr">
        <is>
          <t>POST /api/v1/assets/{tag}/meter → PM อัตโนมัติ</t>
        </is>
      </c>
      <c r="E513" s="10" t="inlineStr">
        <is>
          <t>Functional</t>
        </is>
      </c>
      <c r="F513" s="5" t="inlineStr">
        <is>
          <t>token meters:write; แผน PM ตามมิเตอร์ใกล้ครบ</t>
        </is>
      </c>
      <c r="G513" s="5" t="inlineStr">
        <is>
          <t>1. POST ค่ามิเตอร์ที่ถึงรอบ</t>
        </is>
      </c>
      <c r="H513" s="5" t="inlineStr">
        <is>
          <t>{"value":500}</t>
        </is>
      </c>
      <c r="I513" s="5" t="inlineStr">
        <is>
          <t>HTTP 200/201; บันทึกค่ามิเตอร์; สร้างใบงาน PM อัตโนมัติ</t>
        </is>
      </c>
      <c r="J513" s="10" t="inlineStr">
        <is>
          <t>High</t>
        </is>
      </c>
      <c r="K513" s="5" t="inlineStr">
        <is>
          <t>ผู้ดูแลระบบ IT (it.admin)</t>
        </is>
      </c>
      <c r="L513" s="5" t="n"/>
      <c r="M513" s="10" t="inlineStr">
        <is>
          <t>ยังไม่ทดสอบ</t>
        </is>
      </c>
      <c r="N513" s="5" t="n"/>
      <c r="O513" s="18" t="n"/>
      <c r="P513" s="5" t="inlineStr">
        <is>
          <t>ยังไม่มีหน้าจอ mockup — ทดสอบตามข้อกำหนดจากระบบเดิม SmartEAM 360</t>
        </is>
      </c>
      <c r="Q513" s="5" t="inlineStr">
        <is>
          <t>— (ไม่มี mockup)</t>
        </is>
      </c>
    </row>
    <row r="514" ht="47.5" customHeight="1">
      <c r="A514" s="10" t="inlineStr">
        <is>
          <t>UAT-API-006</t>
        </is>
      </c>
      <c r="B514" s="5" t="inlineStr">
        <is>
          <t>REST API &amp; Token</t>
        </is>
      </c>
      <c r="C514" s="5" t="inlineStr">
        <is>
          <t>REST API &amp; Token</t>
        </is>
      </c>
      <c r="D514" s="5" t="inlineStr">
        <is>
          <t>POST /api/v1/requests สร้างใบแจ้งซ่อม</t>
        </is>
      </c>
      <c r="E514" s="10" t="inlineStr">
        <is>
          <t>Functional</t>
        </is>
      </c>
      <c r="F514" s="5" t="inlineStr">
        <is>
          <t>token requests:write</t>
        </is>
      </c>
      <c r="G514" s="5" t="inlineStr">
        <is>
          <t>1. POST /api/v1/requests</t>
        </is>
      </c>
      <c r="H514" s="5" t="inlineStr">
        <is>
          <t>{"asset_tag":"MTR-007","title":"มอเตอร์มีเสียงดังผิดปกติ","urgency":"P2","is_machine_down":false}</t>
        </is>
      </c>
      <c r="I514" s="5" t="inlineStr">
        <is>
          <t>HTTP 201 คืนเลขใบแจ้ง; ใบแจ้งใหม่ช่องทาง API ผู้แจ้ง = เจ้าของ token</t>
        </is>
      </c>
      <c r="J514" s="10" t="inlineStr">
        <is>
          <t>High</t>
        </is>
      </c>
      <c r="K514" s="5" t="inlineStr">
        <is>
          <t>ผู้ดูแลระบบ IT (it.admin)</t>
        </is>
      </c>
      <c r="L514" s="5" t="n"/>
      <c r="M514" s="10" t="inlineStr">
        <is>
          <t>ยังไม่ทดสอบ</t>
        </is>
      </c>
      <c r="N514" s="5" t="n"/>
      <c r="O514" s="18" t="n"/>
      <c r="P514" s="5" t="inlineStr">
        <is>
          <t>ยังไม่มีหน้าจอ mockup — ทดสอบตามข้อกำหนดจากระบบเดิม SmartEAM 360</t>
        </is>
      </c>
      <c r="Q514" s="5" t="inlineStr">
        <is>
          <t>— (ไม่มี mockup)</t>
        </is>
      </c>
    </row>
    <row r="515" ht="33" customHeight="1">
      <c r="A515" s="10" t="inlineStr">
        <is>
          <t>UAT-API-007</t>
        </is>
      </c>
      <c r="B515" s="5" t="inlineStr">
        <is>
          <t>REST API &amp; Token</t>
        </is>
      </c>
      <c r="C515" s="5" t="inlineStr">
        <is>
          <t>REST API &amp; Token</t>
        </is>
      </c>
      <c r="D515" s="5" t="inlineStr">
        <is>
          <t>POST /requests ข้อมูลไม่ครบ</t>
        </is>
      </c>
      <c r="E515" s="10" t="inlineStr">
        <is>
          <t>Validation</t>
        </is>
      </c>
      <c r="F515" s="5" t="inlineStr">
        <is>
          <t>token requests:write</t>
        </is>
      </c>
      <c r="G515" s="5" t="inlineStr">
        <is>
          <t>1. POST โดยไม่มี title</t>
        </is>
      </c>
      <c r="H515" s="5" t="inlineStr">
        <is>
          <t>{"asset_tag":"MTR-007"}</t>
        </is>
      </c>
      <c r="I515" s="5" t="inlineStr">
        <is>
          <t>HTTP 422 พร้อมข้อความระบุฟิลด์ที่ขาด</t>
        </is>
      </c>
      <c r="J515" s="10" t="inlineStr">
        <is>
          <t>Medium</t>
        </is>
      </c>
      <c r="K515" s="5" t="inlineStr">
        <is>
          <t>ผู้ดูแลระบบ IT (it.admin)</t>
        </is>
      </c>
      <c r="L515" s="5" t="n"/>
      <c r="M515" s="10" t="inlineStr">
        <is>
          <t>ยังไม่ทดสอบ</t>
        </is>
      </c>
      <c r="N515" s="5" t="n"/>
      <c r="O515" s="18" t="n"/>
      <c r="P515" s="5" t="inlineStr">
        <is>
          <t>ยังไม่มีหน้าจอ mockup — ทดสอบตามข้อกำหนดจากระบบเดิม SmartEAM 360</t>
        </is>
      </c>
      <c r="Q515" s="5" t="inlineStr">
        <is>
          <t>— (ไม่มี mockup)</t>
        </is>
      </c>
    </row>
    <row r="516" ht="47.5" customHeight="1">
      <c r="A516" s="10" t="inlineStr">
        <is>
          <t>UAT-API-008</t>
        </is>
      </c>
      <c r="B516" s="5" t="inlineStr">
        <is>
          <t>REST API &amp; Token</t>
        </is>
      </c>
      <c r="C516" s="5" t="inlineStr">
        <is>
          <t>REST API &amp; Token</t>
        </is>
      </c>
      <c r="D516" s="5" t="inlineStr">
        <is>
          <t>GET /work-orders, /parts, /pm/due</t>
        </is>
      </c>
      <c r="E516" s="10" t="inlineStr">
        <is>
          <t>Functional</t>
        </is>
      </c>
      <c r="F516" s="5" t="inlineStr">
        <is>
          <t>token มี scope ครบ</t>
        </is>
      </c>
      <c r="G516" s="5" t="inlineStr">
        <is>
          <t>1. เรียก GET /api/v1/work-orders
2. GET /api/v1/parts
3. GET /api/v1/pm/due?days=14</t>
        </is>
      </c>
      <c r="H516" s="5" t="inlineStr">
        <is>
          <t>-</t>
        </is>
      </c>
      <c r="I516" s="5" t="inlineStr">
        <is>
          <t>คืนข้อมูลถูกต้องตามสิทธิ์; parts มียอดคงเหลือรวมทุกคลัง; pm/due เฉพาะภายใน 14 วัน</t>
        </is>
      </c>
      <c r="J516" s="10" t="inlineStr">
        <is>
          <t>Medium</t>
        </is>
      </c>
      <c r="K516" s="5" t="inlineStr">
        <is>
          <t>ผู้ดูแลระบบ IT (it.admin)</t>
        </is>
      </c>
      <c r="L516" s="5" t="n"/>
      <c r="M516" s="10" t="inlineStr">
        <is>
          <t>ยังไม่ทดสอบ</t>
        </is>
      </c>
      <c r="N516" s="5" t="n"/>
      <c r="O516" s="18" t="n"/>
      <c r="P516" s="5" t="inlineStr">
        <is>
          <t>ยังไม่มีหน้าจอ mockup — ทดสอบตามข้อกำหนดจากระบบเดิม SmartEAM 360</t>
        </is>
      </c>
      <c r="Q516" s="5" t="inlineStr">
        <is>
          <t>— (ไม่มี mockup)</t>
        </is>
      </c>
    </row>
    <row r="517" ht="33" customHeight="1">
      <c r="A517" s="10" t="inlineStr">
        <is>
          <t>UAT-API-009</t>
        </is>
      </c>
      <c r="B517" s="5" t="inlineStr">
        <is>
          <t>REST API &amp; Token</t>
        </is>
      </c>
      <c r="C517" s="5" t="inlineStr">
        <is>
          <t>REST API &amp; Token</t>
        </is>
      </c>
      <c r="D517" s="5" t="inlineStr">
        <is>
          <t>เรียกโดยไม่มี/ใช้ token ผิด</t>
        </is>
      </c>
      <c r="E517" s="10" t="inlineStr">
        <is>
          <t>Negative</t>
        </is>
      </c>
      <c r="F517" s="5" t="inlineStr">
        <is>
          <t>-</t>
        </is>
      </c>
      <c r="G517" s="5" t="inlineStr">
        <is>
          <t>1. เรียก GET /api/v1/assets โดยไม่มี header
2. ใช้ token ผิด/ถูกเพิกถอน</t>
        </is>
      </c>
      <c r="H517" s="5" t="inlineStr">
        <is>
          <t>-</t>
        </is>
      </c>
      <c r="I517" s="5" t="inlineStr">
        <is>
          <t>HTTP 401 Unauthorized</t>
        </is>
      </c>
      <c r="J517" s="10" t="inlineStr">
        <is>
          <t>High</t>
        </is>
      </c>
      <c r="K517" s="5" t="inlineStr">
        <is>
          <t>ผู้ดูแลระบบ IT (it.admin)</t>
        </is>
      </c>
      <c r="L517" s="5" t="n"/>
      <c r="M517" s="10" t="inlineStr">
        <is>
          <t>ยังไม่ทดสอบ</t>
        </is>
      </c>
      <c r="N517" s="5" t="n"/>
      <c r="O517" s="18" t="n"/>
      <c r="P517" s="5" t="inlineStr">
        <is>
          <t>ยังไม่มีหน้าจอ mockup — ทดสอบตามข้อกำหนดจากระบบเดิม SmartEAM 360</t>
        </is>
      </c>
      <c r="Q517" s="5" t="inlineStr">
        <is>
          <t>— (ไม่มี mockup)</t>
        </is>
      </c>
    </row>
    <row r="518" ht="33" customHeight="1">
      <c r="A518" s="10" t="inlineStr">
        <is>
          <t>UAT-API-010</t>
        </is>
      </c>
      <c r="B518" s="5" t="inlineStr">
        <is>
          <t>REST API &amp; Token</t>
        </is>
      </c>
      <c r="C518" s="5" t="inlineStr">
        <is>
          <t>REST API &amp; Token</t>
        </is>
      </c>
      <c r="D518" s="5" t="inlineStr">
        <is>
          <t>เรียก endpoint นอก scope</t>
        </is>
      </c>
      <c r="E518" s="10" t="inlineStr">
        <is>
          <t>Permission</t>
        </is>
      </c>
      <c r="F518" s="5" t="inlineStr">
        <is>
          <t>token มีเฉพาะ assets:read</t>
        </is>
      </c>
      <c r="G518" s="5" t="inlineStr">
        <is>
          <t>1. POST /api/v1/requests</t>
        </is>
      </c>
      <c r="H518" s="5" t="inlineStr">
        <is>
          <t>-</t>
        </is>
      </c>
      <c r="I518" s="5" t="inlineStr">
        <is>
          <t>HTTP 403 Forbidden</t>
        </is>
      </c>
      <c r="J518" s="10" t="inlineStr">
        <is>
          <t>High</t>
        </is>
      </c>
      <c r="K518" s="5" t="inlineStr">
        <is>
          <t>ผู้ดูแลระบบ IT (it.admin)</t>
        </is>
      </c>
      <c r="L518" s="5" t="n"/>
      <c r="M518" s="10" t="inlineStr">
        <is>
          <t>ยังไม่ทดสอบ</t>
        </is>
      </c>
      <c r="N518" s="5" t="n"/>
      <c r="O518" s="18" t="n"/>
      <c r="P518" s="5" t="inlineStr">
        <is>
          <t>ยังไม่มีหน้าจอ mockup — ทดสอบตามข้อกำหนดจากระบบเดิม SmartEAM 360</t>
        </is>
      </c>
      <c r="Q518" s="5" t="inlineStr">
        <is>
          <t>— (ไม่มี mockup)</t>
        </is>
      </c>
    </row>
    <row r="519" ht="33" customHeight="1">
      <c r="A519" s="10" t="inlineStr">
        <is>
          <t>UAT-API-011</t>
        </is>
      </c>
      <c r="B519" s="5" t="inlineStr">
        <is>
          <t>REST API &amp; Token</t>
        </is>
      </c>
      <c r="C519" s="5" t="inlineStr">
        <is>
          <t>REST API &amp; Token</t>
        </is>
      </c>
      <c r="D519" s="5" t="inlineStr">
        <is>
          <t>Rate limit 60 ครั้ง/นาที/token</t>
        </is>
      </c>
      <c r="E519" s="10" t="inlineStr">
        <is>
          <t>Negative</t>
        </is>
      </c>
      <c r="F519" s="5" t="inlineStr">
        <is>
          <t>มี token</t>
        </is>
      </c>
      <c r="G519" s="5" t="inlineStr">
        <is>
          <t>1. เรียก API 61 ครั้งภายใน 1 นาที</t>
        </is>
      </c>
      <c r="H519" s="5" t="inlineStr">
        <is>
          <t>-</t>
        </is>
      </c>
      <c r="I519" s="5" t="inlineStr">
        <is>
          <t>ครั้งที่ 61 ได้ HTTP 429 พร้อม Retry-After</t>
        </is>
      </c>
      <c r="J519" s="10" t="inlineStr">
        <is>
          <t>Medium</t>
        </is>
      </c>
      <c r="K519" s="5" t="inlineStr">
        <is>
          <t>ผู้ดูแลระบบ IT (it.admin)</t>
        </is>
      </c>
      <c r="L519" s="5" t="n"/>
      <c r="M519" s="10" t="inlineStr">
        <is>
          <t>ยังไม่ทดสอบ</t>
        </is>
      </c>
      <c r="N519" s="5" t="n"/>
      <c r="O519" s="18" t="n"/>
      <c r="P519" s="5" t="inlineStr">
        <is>
          <t>ยังไม่มีหน้าจอ mockup — ทดสอบตามข้อกำหนดจากระบบเดิม SmartEAM 360</t>
        </is>
      </c>
      <c r="Q519" s="5" t="inlineStr">
        <is>
          <t>— (ไม่มี mockup)</t>
        </is>
      </c>
    </row>
    <row r="520" ht="47.5" customHeight="1">
      <c r="A520" s="10" t="inlineStr">
        <is>
          <t>UAT-API-012</t>
        </is>
      </c>
      <c r="B520" s="5" t="inlineStr">
        <is>
          <t>REST API &amp; Token</t>
        </is>
      </c>
      <c r="C520" s="5" t="inlineStr">
        <is>
          <t>REST API &amp; Token</t>
        </is>
      </c>
      <c r="D520" s="5" t="inlineStr">
        <is>
          <t>บันทึกและกราฟการเรียก API</t>
        </is>
      </c>
      <c r="E520" s="10" t="inlineStr">
        <is>
          <t>UI</t>
        </is>
      </c>
      <c r="F520" s="5" t="inlineStr">
        <is>
          <t>มีการเรียก API</t>
        </is>
      </c>
      <c r="G520" s="5" t="inlineStr">
        <is>
          <t>1. เปิดหน้า REST API
2. ดูกราฟ 14 วันและตาราง การเรียกล่าสุด
3. กรองตาม token</t>
        </is>
      </c>
      <c r="H520" s="5" t="inlineStr">
        <is>
          <t>-</t>
        </is>
      </c>
      <c r="I520" s="5" t="inlineStr">
        <is>
          <t>ตารางแสดง เวลา, Token, Method, Path, สถานะ, ms, IP; กราฟกรองตาม token ได้</t>
        </is>
      </c>
      <c r="J520" s="10" t="inlineStr">
        <is>
          <t>Low</t>
        </is>
      </c>
      <c r="K520" s="5" t="inlineStr">
        <is>
          <t>ผู้ดูแลระบบ IT (it.admin)</t>
        </is>
      </c>
      <c r="L520" s="5" t="n"/>
      <c r="M520" s="10" t="inlineStr">
        <is>
          <t>ยังไม่ทดสอบ</t>
        </is>
      </c>
      <c r="N520" s="5" t="n"/>
      <c r="O520" s="18" t="n"/>
      <c r="P520" s="5" t="inlineStr">
        <is>
          <t>ยังไม่มีหน้าจอ mockup — ทดสอบตามข้อกำหนดจากระบบเดิม SmartEAM 360</t>
        </is>
      </c>
      <c r="Q520" s="5" t="inlineStr">
        <is>
          <t>— (ไม่มี mockup)</t>
        </is>
      </c>
    </row>
    <row r="521" ht="47.5" customHeight="1">
      <c r="A521" s="10" t="inlineStr">
        <is>
          <t>UAT-API-013</t>
        </is>
      </c>
      <c r="B521" s="5" t="inlineStr">
        <is>
          <t>REST API &amp; Token</t>
        </is>
      </c>
      <c r="C521" s="5" t="inlineStr">
        <is>
          <t>REST API &amp; Token</t>
        </is>
      </c>
      <c r="D521" s="5" t="inlineStr">
        <is>
          <t>ดาวน์โหลด openapi.json และ Try-it</t>
        </is>
      </c>
      <c r="E521" s="10" t="inlineStr">
        <is>
          <t>Functional</t>
        </is>
      </c>
      <c r="F521" s="5" t="inlineStr">
        <is>
          <t>เข้าสู่ระบบแล้ว</t>
        </is>
      </c>
      <c r="G521" s="5" t="inlineStr">
        <is>
          <t>1. คลิก openapi.json
2. วาง token ในช่องทดลอง กด ทดลองเรียก GET /work-orders</t>
        </is>
      </c>
      <c r="H521" s="5" t="inlineStr">
        <is>
          <t>-</t>
        </is>
      </c>
      <c r="I521" s="5" t="inlineStr">
        <is>
          <t>ไฟล์ OpenAPI ถูกต้อง; Try-it แสดงผล JSON; token ในช่องทดลองไม่ถูกเก็บถาวร</t>
        </is>
      </c>
      <c r="J521" s="10" t="inlineStr">
        <is>
          <t>Low</t>
        </is>
      </c>
      <c r="K521" s="5" t="inlineStr">
        <is>
          <t>ผู้ดูแลระบบ IT (it.admin)</t>
        </is>
      </c>
      <c r="L521" s="5" t="n"/>
      <c r="M521" s="10" t="inlineStr">
        <is>
          <t>ยังไม่ทดสอบ</t>
        </is>
      </c>
      <c r="N521" s="5" t="n"/>
      <c r="O521" s="18" t="n"/>
      <c r="P521" s="5" t="inlineStr">
        <is>
          <t>ยังไม่มีหน้าจอ mockup — ทดสอบตามข้อกำหนดจากระบบเดิม SmartEAM 360</t>
        </is>
      </c>
      <c r="Q521" s="5" t="inlineStr">
        <is>
          <t>— (ไม่มี mockup)</t>
        </is>
      </c>
    </row>
    <row r="522" ht="33" customHeight="1">
      <c r="A522" s="10" t="inlineStr">
        <is>
          <t>UAT-API-014</t>
        </is>
      </c>
      <c r="B522" s="5" t="inlineStr">
        <is>
          <t>REST API &amp; Token</t>
        </is>
      </c>
      <c r="C522" s="5" t="inlineStr">
        <is>
          <t>REST API &amp; Token</t>
        </is>
      </c>
      <c r="D522" s="5" t="inlineStr">
        <is>
          <t>เพิกถอน token</t>
        </is>
      </c>
      <c r="E522" s="10" t="inlineStr">
        <is>
          <t>Functional</t>
        </is>
      </c>
      <c r="F522" s="5" t="inlineStr">
        <is>
          <t>มี token ใช้งานอยู่</t>
        </is>
      </c>
      <c r="G522" s="5" t="inlineStr">
        <is>
          <t>1. กดปิดใช้งาน/เพิกถอน token
2. เรียก API ด้วย token เดิม</t>
        </is>
      </c>
      <c r="H522" s="5" t="inlineStr">
        <is>
          <t>-</t>
        </is>
      </c>
      <c r="I522" s="5" t="inlineStr">
        <is>
          <t>HTTP 401; Audit Log บันทึก</t>
        </is>
      </c>
      <c r="J522" s="10" t="inlineStr">
        <is>
          <t>High</t>
        </is>
      </c>
      <c r="K522" s="5" t="inlineStr">
        <is>
          <t>ผู้ดูแลระบบ IT (it.admin)</t>
        </is>
      </c>
      <c r="L522" s="5" t="n"/>
      <c r="M522" s="10" t="inlineStr">
        <is>
          <t>ยังไม่ทดสอบ</t>
        </is>
      </c>
      <c r="N522" s="5" t="n"/>
      <c r="O522" s="18" t="n"/>
      <c r="P522" s="5" t="inlineStr">
        <is>
          <t>ยังไม่มีหน้าจอ mockup — ทดสอบตามข้อกำหนดจากระบบเดิม SmartEAM 360</t>
        </is>
      </c>
      <c r="Q522" s="5" t="inlineStr">
        <is>
          <t>— (ไม่มี mockup)</t>
        </is>
      </c>
    </row>
    <row r="523" ht="47.5" customHeight="1">
      <c r="A523" s="10" t="inlineStr">
        <is>
          <t>UAT-AUD-001</t>
        </is>
      </c>
      <c r="B523" s="5" t="inlineStr">
        <is>
          <t>Audit Log</t>
        </is>
      </c>
      <c r="C523" s="5" t="inlineStr">
        <is>
          <t>Audit Log</t>
        </is>
      </c>
      <c r="D523" s="5" t="inlineStr">
        <is>
          <t>แสดงรายการ Audit Log ล่าสุดก่อน</t>
        </is>
      </c>
      <c r="E523" s="10" t="inlineStr">
        <is>
          <t>UI</t>
        </is>
      </c>
      <c r="F523" s="5" t="inlineStr">
        <is>
          <t>ล็อกอิน auditor</t>
        </is>
      </c>
      <c r="G523" s="5" t="inlineStr">
        <is>
          <t>1. เปิดเมนู Audit Log</t>
        </is>
      </c>
      <c r="H523" s="5" t="inlineStr">
        <is>
          <t>-</t>
        </is>
      </c>
      <c r="I523" s="5" t="inlineStr">
        <is>
          <t>ตาราง วันเวลา (พ.ศ.), ผู้ใช้, การกระทำ, โมดูล/รายการ, รายละเอียด, IP; เรียงใหม่→เก่า; 50 รายการ/หน้า "แสดง 1–50 จาก N รายการ"</t>
        </is>
      </c>
      <c r="J523" s="10" t="inlineStr">
        <is>
          <t>High</t>
        </is>
      </c>
      <c r="K523" s="5" t="inlineStr">
        <is>
          <t>ผู้ตรวจสอบ (auditor)</t>
        </is>
      </c>
      <c r="L523" s="5" t="n"/>
      <c r="M523" s="10" t="inlineStr">
        <is>
          <t>ยังไม่ทดสอบ</t>
        </is>
      </c>
      <c r="N523" s="5" t="n"/>
      <c r="O523" s="18" t="n"/>
      <c r="P523" s="5" t="inlineStr">
        <is>
          <t>ยังไม่มีหน้าจอ mockup — ทดสอบตามข้อกำหนดจากระบบเดิม SmartEAM 360</t>
        </is>
      </c>
      <c r="Q523" s="5" t="inlineStr">
        <is>
          <t>— (ไม่มี mockup)</t>
        </is>
      </c>
    </row>
    <row r="524" ht="33" customHeight="1">
      <c r="A524" s="10" t="inlineStr">
        <is>
          <t>UAT-AUD-002</t>
        </is>
      </c>
      <c r="B524" s="5" t="inlineStr">
        <is>
          <t>Audit Log</t>
        </is>
      </c>
      <c r="C524" s="5" t="inlineStr">
        <is>
          <t>Audit Log</t>
        </is>
      </c>
      <c r="D524" s="5" t="inlineStr">
        <is>
          <t>กรองตามโมดูล</t>
        </is>
      </c>
      <c r="E524" s="10" t="inlineStr">
        <is>
          <t>Functional</t>
        </is>
      </c>
      <c r="F524" s="5" t="inlineStr">
        <is>
          <t>เข้าสู่ระบบแล้ว</t>
        </is>
      </c>
      <c r="G524" s="5" t="inlineStr">
        <is>
          <t>1. เลือกโมดูล = wo</t>
        </is>
      </c>
      <c r="H524" s="5" t="inlineStr">
        <is>
          <t>-</t>
        </is>
      </c>
      <c r="I524" s="5" t="inlineStr">
        <is>
          <t>แสดงเฉพาะเหตุการณ์ใบสั่งงาน</t>
        </is>
      </c>
      <c r="J524" s="10" t="inlineStr">
        <is>
          <t>Medium</t>
        </is>
      </c>
      <c r="K524" s="5" t="inlineStr">
        <is>
          <t>ผู้ตรวจสอบ (auditor)</t>
        </is>
      </c>
      <c r="L524" s="5" t="n"/>
      <c r="M524" s="10" t="inlineStr">
        <is>
          <t>ยังไม่ทดสอบ</t>
        </is>
      </c>
      <c r="N524" s="5" t="n"/>
      <c r="O524" s="18" t="n"/>
      <c r="P524" s="5" t="inlineStr">
        <is>
          <t>ยังไม่มีหน้าจอ mockup — ทดสอบตามข้อกำหนดจากระบบเดิม SmartEAM 360</t>
        </is>
      </c>
      <c r="Q524" s="5" t="inlineStr">
        <is>
          <t>— (ไม่มี mockup)</t>
        </is>
      </c>
    </row>
    <row r="525" ht="33" customHeight="1">
      <c r="A525" s="10" t="inlineStr">
        <is>
          <t>UAT-AUD-003</t>
        </is>
      </c>
      <c r="B525" s="5" t="inlineStr">
        <is>
          <t>Audit Log</t>
        </is>
      </c>
      <c r="C525" s="5" t="inlineStr">
        <is>
          <t>Audit Log</t>
        </is>
      </c>
      <c r="D525" s="5" t="inlineStr">
        <is>
          <t>กรองตามการกระทำ</t>
        </is>
      </c>
      <c r="E525" s="10" t="inlineStr">
        <is>
          <t>Functional</t>
        </is>
      </c>
      <c r="F525" s="5" t="inlineStr">
        <is>
          <t>เข้าสู่ระบบแล้ว</t>
        </is>
      </c>
      <c r="G525" s="5" t="inlineStr">
        <is>
          <t>1. เลือก action = approve</t>
        </is>
      </c>
      <c r="H525" s="5" t="inlineStr">
        <is>
          <t>-</t>
        </is>
      </c>
      <c r="I525" s="5" t="inlineStr">
        <is>
          <t>แสดงเฉพาะการอนุมัติ (โอนย้าย, PR/PO, WO)</t>
        </is>
      </c>
      <c r="J525" s="10" t="inlineStr">
        <is>
          <t>Medium</t>
        </is>
      </c>
      <c r="K525" s="5" t="inlineStr">
        <is>
          <t>ผู้ตรวจสอบ (auditor)</t>
        </is>
      </c>
      <c r="L525" s="5" t="n"/>
      <c r="M525" s="10" t="inlineStr">
        <is>
          <t>ยังไม่ทดสอบ</t>
        </is>
      </c>
      <c r="N525" s="5" t="n"/>
      <c r="O525" s="18" t="n"/>
      <c r="P525" s="5" t="inlineStr">
        <is>
          <t>ยังไม่มีหน้าจอ mockup — ทดสอบตามข้อกำหนดจากระบบเดิม SmartEAM 360</t>
        </is>
      </c>
      <c r="Q525" s="5" t="inlineStr">
        <is>
          <t>— (ไม่มี mockup)</t>
        </is>
      </c>
    </row>
    <row r="526" ht="33" customHeight="1">
      <c r="A526" s="10" t="inlineStr">
        <is>
          <t>UAT-AUD-004</t>
        </is>
      </c>
      <c r="B526" s="5" t="inlineStr">
        <is>
          <t>Audit Log</t>
        </is>
      </c>
      <c r="C526" s="5" t="inlineStr">
        <is>
          <t>Audit Log</t>
        </is>
      </c>
      <c r="D526" s="5" t="inlineStr">
        <is>
          <t>กรองตามช่วงวันที่</t>
        </is>
      </c>
      <c r="E526" s="10" t="inlineStr">
        <is>
          <t>Functional</t>
        </is>
      </c>
      <c r="F526" s="5" t="inlineStr">
        <is>
          <t>เข้าสู่ระบบแล้ว</t>
        </is>
      </c>
      <c r="G526" s="5" t="inlineStr">
        <is>
          <t>1. ตั้งแต่ 10/10/2569 ถึง 11/10/2569</t>
        </is>
      </c>
      <c r="H526" s="5" t="inlineStr">
        <is>
          <t>-</t>
        </is>
      </c>
      <c r="I526" s="5" t="inlineStr">
        <is>
          <t>แสดงเฉพาะเหตุการณ์ในช่วง</t>
        </is>
      </c>
      <c r="J526" s="10" t="inlineStr">
        <is>
          <t>Medium</t>
        </is>
      </c>
      <c r="K526" s="5" t="inlineStr">
        <is>
          <t>ผู้ตรวจสอบ (auditor)</t>
        </is>
      </c>
      <c r="L526" s="5" t="n"/>
      <c r="M526" s="10" t="inlineStr">
        <is>
          <t>ยังไม่ทดสอบ</t>
        </is>
      </c>
      <c r="N526" s="5" t="n"/>
      <c r="O526" s="18" t="n"/>
      <c r="P526" s="5" t="inlineStr">
        <is>
          <t>ยังไม่มีหน้าจอ mockup — ทดสอบตามข้อกำหนดจากระบบเดิม SmartEAM 360</t>
        </is>
      </c>
      <c r="Q526" s="5" t="inlineStr">
        <is>
          <t>— (ไม่มี mockup)</t>
        </is>
      </c>
    </row>
    <row r="527" ht="33" customHeight="1">
      <c r="A527" s="10" t="inlineStr">
        <is>
          <t>UAT-AUD-005</t>
        </is>
      </c>
      <c r="B527" s="5" t="inlineStr">
        <is>
          <t>Audit Log</t>
        </is>
      </c>
      <c r="C527" s="5" t="inlineStr">
        <is>
          <t>Audit Log</t>
        </is>
      </c>
      <c r="D527" s="5" t="inlineStr">
        <is>
          <t>ค้นหาตามผู้ใช้/IP/ข้อมูล</t>
        </is>
      </c>
      <c r="E527" s="10" t="inlineStr">
        <is>
          <t>Functional</t>
        </is>
      </c>
      <c r="F527" s="5" t="inlineStr">
        <is>
          <t>เข้าสู่ระบบแล้ว</t>
        </is>
      </c>
      <c r="G527" s="5" t="inlineStr">
        <is>
          <t>1. ค้นหา "admin" และ IP "110.164"</t>
        </is>
      </c>
      <c r="H527" s="5" t="inlineStr">
        <is>
          <t>-</t>
        </is>
      </c>
      <c r="I527" s="5" t="inlineStr">
        <is>
          <t>แสดงรายการที่ตรง</t>
        </is>
      </c>
      <c r="J527" s="10" t="inlineStr">
        <is>
          <t>Low</t>
        </is>
      </c>
      <c r="K527" s="5" t="inlineStr">
        <is>
          <t>ผู้ตรวจสอบ (auditor)</t>
        </is>
      </c>
      <c r="L527" s="5" t="n"/>
      <c r="M527" s="10" t="inlineStr">
        <is>
          <t>ยังไม่ทดสอบ</t>
        </is>
      </c>
      <c r="N527" s="5" t="n"/>
      <c r="O527" s="18" t="n"/>
      <c r="P527" s="5" t="inlineStr">
        <is>
          <t>ยังไม่มีหน้าจอ mockup — ทดสอบตามข้อกำหนดจากระบบเดิม SmartEAM 360</t>
        </is>
      </c>
      <c r="Q527" s="5" t="inlineStr">
        <is>
          <t>— (ไม่มี mockup)</t>
        </is>
      </c>
    </row>
    <row r="528" ht="33" customHeight="1">
      <c r="A528" s="10" t="inlineStr">
        <is>
          <t>UAT-AUD-006</t>
        </is>
      </c>
      <c r="B528" s="5" t="inlineStr">
        <is>
          <t>Audit Log</t>
        </is>
      </c>
      <c r="C528" s="5" t="inlineStr">
        <is>
          <t>Audit Log</t>
        </is>
      </c>
      <c r="D528" s="5" t="inlineStr">
        <is>
          <t>ดูรายละเอียดการเปลี่ยนแปลง (diff)</t>
        </is>
      </c>
      <c r="E528" s="10" t="inlineStr">
        <is>
          <t>Functional</t>
        </is>
      </c>
      <c r="F528" s="5" t="inlineStr">
        <is>
          <t>มีรายการ update</t>
        </is>
      </c>
      <c r="G528" s="5" t="inlineStr">
        <is>
          <t>1. คลิก "2 ฟิลด์" ในคอลัมน์รายละเอียด</t>
        </is>
      </c>
      <c r="H528" s="5" t="inlineStr">
        <is>
          <t>-</t>
        </is>
      </c>
      <c r="I528" s="5" t="inlineStr">
        <is>
          <t>ขยายแสดงค่าเดิม → ค่าใหม่ของแต่ละฟิลด์</t>
        </is>
      </c>
      <c r="J528" s="10" t="inlineStr">
        <is>
          <t>High</t>
        </is>
      </c>
      <c r="K528" s="5" t="inlineStr">
        <is>
          <t>ผู้ตรวจสอบ (auditor)</t>
        </is>
      </c>
      <c r="L528" s="5" t="n"/>
      <c r="M528" s="10" t="inlineStr">
        <is>
          <t>ยังไม่ทดสอบ</t>
        </is>
      </c>
      <c r="N528" s="5" t="n"/>
      <c r="O528" s="18" t="n"/>
      <c r="P528" s="5" t="inlineStr">
        <is>
          <t>ยังไม่มีหน้าจอ mockup — ทดสอบตามข้อกำหนดจากระบบเดิม SmartEAM 360</t>
        </is>
      </c>
      <c r="Q528" s="5" t="inlineStr">
        <is>
          <t>— (ไม่มี mockup)</t>
        </is>
      </c>
    </row>
    <row r="529" ht="33" customHeight="1">
      <c r="A529" s="10" t="inlineStr">
        <is>
          <t>UAT-AUD-007</t>
        </is>
      </c>
      <c r="B529" s="5" t="inlineStr">
        <is>
          <t>Audit Log</t>
        </is>
      </c>
      <c r="C529" s="5" t="inlineStr">
        <is>
          <t>Audit Log</t>
        </is>
      </c>
      <c r="D529" s="5" t="inlineStr">
        <is>
          <t>Audit เป็น append-only (แก้/ลบไม่ได้)</t>
        </is>
      </c>
      <c r="E529" s="10" t="inlineStr">
        <is>
          <t>Negative</t>
        </is>
      </c>
      <c r="F529" s="5" t="inlineStr">
        <is>
          <t>ล็อกอิน admin</t>
        </is>
      </c>
      <c r="G529" s="5" t="inlineStr">
        <is>
          <t>1. พยายามหาปุ่มแก้/ลบ
2. เรียก API/URL ลบ log โดยตรง</t>
        </is>
      </c>
      <c r="H529" s="5" t="inlineStr">
        <is>
          <t>-</t>
        </is>
      </c>
      <c r="I529" s="5" t="inlineStr">
        <is>
          <t>ไม่มีปุ่มแก้ไข/ลบ; คำขอลบถูกปฏิเสธ (ISO 27001 A.8.15)</t>
        </is>
      </c>
      <c r="J529" s="10" t="inlineStr">
        <is>
          <t>High</t>
        </is>
      </c>
      <c r="K529" s="5" t="inlineStr">
        <is>
          <t>ผู้ดูแลระบบสูงสุด (admin)</t>
        </is>
      </c>
      <c r="L529" s="5" t="n"/>
      <c r="M529" s="10" t="inlineStr">
        <is>
          <t>ยังไม่ทดสอบ</t>
        </is>
      </c>
      <c r="N529" s="5" t="n"/>
      <c r="O529" s="18" t="n"/>
      <c r="P529" s="5" t="inlineStr">
        <is>
          <t>ยังไม่มีหน้าจอ mockup — ทดสอบตามข้อกำหนดจากระบบเดิม SmartEAM 360</t>
        </is>
      </c>
      <c r="Q529" s="5" t="inlineStr">
        <is>
          <t>— (ไม่มี mockup)</t>
        </is>
      </c>
    </row>
    <row r="530" ht="47.5" customHeight="1">
      <c r="A530" s="10" t="inlineStr">
        <is>
          <t>UAT-AUD-008</t>
        </is>
      </c>
      <c r="B530" s="5" t="inlineStr">
        <is>
          <t>Audit Log</t>
        </is>
      </c>
      <c r="C530" s="5" t="inlineStr">
        <is>
          <t>Audit Log</t>
        </is>
      </c>
      <c r="D530" s="5" t="inlineStr">
        <is>
          <t>บันทึกเหตุการณ์สำคัญครบถ้วน</t>
        </is>
      </c>
      <c r="E530" s="10" t="inlineStr">
        <is>
          <t>Functional</t>
        </is>
      </c>
      <c r="F530" s="5" t="inlineStr">
        <is>
          <t>ทำธุรกรรม: login, สร้าง WO, อนุมัติ PR, พิมพ์ป้าย, ปิดงวด, เปิดดู License Key</t>
        </is>
      </c>
      <c r="G530" s="5" t="inlineStr">
        <is>
          <t>1. ตรวจ Audit Log หลังทำแต่ละขั้น</t>
        </is>
      </c>
      <c r="H530" s="5" t="inlineStr">
        <is>
          <t>-</t>
        </is>
      </c>
      <c r="I530" s="5" t="inlineStr">
        <is>
          <t>มีรายการครบทุกเหตุการณ์พร้อมผู้ใช้ เวลา IP</t>
        </is>
      </c>
      <c r="J530" s="10" t="inlineStr">
        <is>
          <t>High</t>
        </is>
      </c>
      <c r="K530" s="5" t="inlineStr">
        <is>
          <t>ผู้ตรวจสอบ (auditor)</t>
        </is>
      </c>
      <c r="L530" s="5" t="n"/>
      <c r="M530" s="10" t="inlineStr">
        <is>
          <t>ยังไม่ทดสอบ</t>
        </is>
      </c>
      <c r="N530" s="5" t="n"/>
      <c r="O530" s="18" t="n"/>
      <c r="P530" s="5" t="inlineStr">
        <is>
          <t>ยังไม่มีหน้าจอ mockup — ทดสอบตามข้อกำหนดจากระบบเดิม SmartEAM 360</t>
        </is>
      </c>
      <c r="Q530" s="5" t="inlineStr">
        <is>
          <t>— (ไม่มี mockup)</t>
        </is>
      </c>
    </row>
    <row r="531" ht="33" customHeight="1">
      <c r="A531" s="10" t="inlineStr">
        <is>
          <t>UAT-AUD-009</t>
        </is>
      </c>
      <c r="B531" s="5" t="inlineStr">
        <is>
          <t>Audit Log</t>
        </is>
      </c>
      <c r="C531" s="5" t="inlineStr">
        <is>
          <t>Audit Log</t>
        </is>
      </c>
      <c r="D531" s="5" t="inlineStr">
        <is>
          <t>ส่งออก Audit Log</t>
        </is>
      </c>
      <c r="E531" s="10" t="inlineStr">
        <is>
          <t>Functional</t>
        </is>
      </c>
      <c r="F531" s="5" t="inlineStr">
        <is>
          <t>มีสิทธิ์ส่งออก</t>
        </is>
      </c>
      <c r="G531" s="5" t="inlineStr">
        <is>
          <t>1. กรองช่วงวันที่
2. ส่งออก</t>
        </is>
      </c>
      <c r="H531" s="5" t="inlineStr">
        <is>
          <t>-</t>
        </is>
      </c>
      <c r="I531" s="5" t="inlineStr">
        <is>
          <t>ไฟล์ตรงกับตัวกรอง ภาษาไทยถูกต้อง</t>
        </is>
      </c>
      <c r="J531" s="10" t="inlineStr">
        <is>
          <t>Medium</t>
        </is>
      </c>
      <c r="K531" s="5" t="inlineStr">
        <is>
          <t>ผู้ตรวจสอบ (auditor)</t>
        </is>
      </c>
      <c r="L531" s="5" t="n"/>
      <c r="M531" s="10" t="inlineStr">
        <is>
          <t>ยังไม่ทดสอบ</t>
        </is>
      </c>
      <c r="N531" s="5" t="n"/>
      <c r="O531" s="18" t="n"/>
      <c r="P531" s="5" t="inlineStr">
        <is>
          <t>ยังไม่มีหน้าจอ mockup — ทดสอบตามข้อกำหนดจากระบบเดิม SmartEAM 360</t>
        </is>
      </c>
      <c r="Q531" s="5" t="inlineStr">
        <is>
          <t>— (ไม่มี mockup)</t>
        </is>
      </c>
    </row>
    <row r="532" ht="33" customHeight="1">
      <c r="A532" s="10" t="inlineStr">
        <is>
          <t>UAT-AUD-010</t>
        </is>
      </c>
      <c r="B532" s="5" t="inlineStr">
        <is>
          <t>Audit Log</t>
        </is>
      </c>
      <c r="C532" s="5" t="inlineStr">
        <is>
          <t>Audit Log</t>
        </is>
      </c>
      <c r="D532" s="5" t="inlineStr">
        <is>
          <t>ผู้ไม่มีสิทธิ์ดู Audit Log</t>
        </is>
      </c>
      <c r="E532" s="10" t="inlineStr">
        <is>
          <t>Permission</t>
        </is>
      </c>
      <c r="F532" s="5" t="inlineStr">
        <is>
          <t>ล็อกอินเป็นช่าง</t>
        </is>
      </c>
      <c r="G532" s="5" t="inlineStr">
        <is>
          <t>1. เปิด URL /audit</t>
        </is>
      </c>
      <c r="H532" s="5" t="inlineStr">
        <is>
          <t>-</t>
        </is>
      </c>
      <c r="I532" s="5" t="inlineStr">
        <is>
          <t>ถูกปฏิเสธ ไม่เห็นเมนู</t>
        </is>
      </c>
      <c r="J532" s="10" t="inlineStr">
        <is>
          <t>High</t>
        </is>
      </c>
      <c r="K532" s="5" t="inlineStr">
        <is>
          <t>ช่างซ่อมบำรุง (somchai)</t>
        </is>
      </c>
      <c r="L532" s="5" t="n"/>
      <c r="M532" s="10" t="inlineStr">
        <is>
          <t>ยังไม่ทดสอบ</t>
        </is>
      </c>
      <c r="N532" s="5" t="n"/>
      <c r="O532" s="18" t="n"/>
      <c r="P532" s="5" t="inlineStr">
        <is>
          <t>ยังไม่มีหน้าจอ mockup — ทดสอบตามข้อกำหนดจากระบบเดิม SmartEAM 360</t>
        </is>
      </c>
      <c r="Q532" s="5" t="inlineStr">
        <is>
          <t>— (ไม่มี mockup)</t>
        </is>
      </c>
    </row>
    <row r="533" ht="33" customHeight="1">
      <c r="A533" s="10" t="inlineStr">
        <is>
          <t>UAT-AUD-011</t>
        </is>
      </c>
      <c r="B533" s="5" t="inlineStr">
        <is>
          <t>Audit Log</t>
        </is>
      </c>
      <c r="C533" s="5" t="inlineStr">
        <is>
          <t>Audit Log</t>
        </is>
      </c>
      <c r="D533" s="5" t="inlineStr">
        <is>
          <t>ประสิทธิภาพการแสดงผลข้อมูลจำนวนมาก</t>
        </is>
      </c>
      <c r="E533" s="10" t="inlineStr">
        <is>
          <t>UI</t>
        </is>
      </c>
      <c r="F533" s="5" t="inlineStr">
        <is>
          <t>มี log &gt; 100,000 รายการ</t>
        </is>
      </c>
      <c r="G533" s="5" t="inlineStr">
        <is>
          <t>1. เปิดหน้าและเปลี่ยนหน้า/กรอง</t>
        </is>
      </c>
      <c r="H533" s="5" t="inlineStr">
        <is>
          <t>-</t>
        </is>
      </c>
      <c r="I533" s="5" t="inlineStr">
        <is>
          <t>โหลดแต่ละหน้าภายใน 3 วินาที</t>
        </is>
      </c>
      <c r="J533" s="10" t="inlineStr">
        <is>
          <t>Low</t>
        </is>
      </c>
      <c r="K533" s="5" t="inlineStr">
        <is>
          <t>ผู้ตรวจสอบ (auditor)</t>
        </is>
      </c>
      <c r="L533" s="5" t="n"/>
      <c r="M533" s="10" t="inlineStr">
        <is>
          <t>ยังไม่ทดสอบ</t>
        </is>
      </c>
      <c r="N533" s="5" t="n"/>
      <c r="O533" s="18" t="n"/>
      <c r="P533" s="5" t="inlineStr">
        <is>
          <t>ยังไม่มีหน้าจอ mockup — ทดสอบตามข้อกำหนดจากระบบเดิม SmartEAM 360</t>
        </is>
      </c>
      <c r="Q533" s="5" t="inlineStr">
        <is>
          <t>— (ไม่มี mockup)</t>
        </is>
      </c>
    </row>
    <row r="534" ht="33" customHeight="1">
      <c r="A534" s="10" t="inlineStr">
        <is>
          <t>UAT-AUD-012</t>
        </is>
      </c>
      <c r="B534" s="5" t="inlineStr">
        <is>
          <t>Audit Log</t>
        </is>
      </c>
      <c r="C534" s="5" t="inlineStr">
        <is>
          <t>Audit Log</t>
        </is>
      </c>
      <c r="D534" s="5" t="inlineStr">
        <is>
          <t>แสดงผลบนมือถือ 375px</t>
        </is>
      </c>
      <c r="E534" s="10" t="inlineStr">
        <is>
          <t>Responsive</t>
        </is>
      </c>
      <c r="F534" s="5" t="inlineStr">
        <is>
          <t>ล็อกอิน auditor บนมือถือ</t>
        </is>
      </c>
      <c r="G534" s="5" t="inlineStr">
        <is>
          <t>1. เปิด Audit Log ที่ 375px</t>
        </is>
      </c>
      <c r="H534" s="5" t="inlineStr">
        <is>
          <t>-</t>
        </is>
      </c>
      <c r="I534" s="5" t="inlineStr">
        <is>
          <t>ตารางเลื่อนแนวนอนได้ ตัวกรองซ้อนแนวตั้ง ไม่ล้นจอ</t>
        </is>
      </c>
      <c r="J534" s="10" t="inlineStr">
        <is>
          <t>Low</t>
        </is>
      </c>
      <c r="K534" s="5" t="inlineStr">
        <is>
          <t>ผู้ตรวจสอบ (auditor)</t>
        </is>
      </c>
      <c r="L534" s="5" t="n"/>
      <c r="M534" s="10" t="inlineStr">
        <is>
          <t>ยังไม่ทดสอบ</t>
        </is>
      </c>
      <c r="N534" s="5" t="n"/>
      <c r="O534" s="18" t="n"/>
      <c r="P534" s="5" t="inlineStr">
        <is>
          <t>ยังไม่มีหน้าจอ mockup — ทดสอบตามข้อกำหนดจากระบบเดิม SmartEAM 360</t>
        </is>
      </c>
      <c r="Q534" s="5" t="inlineStr">
        <is>
          <t>— (ไม่มี mockup)</t>
        </is>
      </c>
    </row>
    <row r="535" ht="33" customHeight="1">
      <c r="A535" s="10" t="inlineStr">
        <is>
          <t>UAT-E2E-001</t>
        </is>
      </c>
      <c r="B535" s="5" t="inlineStr">
        <is>
          <t>End-to-End (ข้ามโมดูล)</t>
        </is>
      </c>
      <c r="C535" s="5" t="inlineStr">
        <is>
          <t>ข้ามโมดูล</t>
        </is>
      </c>
      <c r="D535" s="5" t="inlineStr">
        <is>
          <t>E2E-01 แจ้งซ่อม → WO → อะไหล่ → ปิดงาน → ต้นทุน</t>
        </is>
      </c>
      <c r="E535" s="10" t="inlineStr">
        <is>
          <t>Functional</t>
        </is>
      </c>
      <c r="F535" s="5" t="inlineStr">
        <is>
          <t>ข้อมูลตั้งต้นตามชีต E2E-01</t>
        </is>
      </c>
      <c r="G535" s="5" t="inlineStr">
        <is>
          <t>1. ทำตามขั้นตอนในชีต End-to-End Scenarios หัวข้อ E2E-01</t>
        </is>
      </c>
      <c r="H535" s="5" t="inlineStr">
        <is>
          <t>CONV-03; ลูกปืน 6205-2RS × 2</t>
        </is>
      </c>
      <c r="I535" s="5" t="inlineStr">
        <is>
          <t>ข้อมูลไหลครบ: ใบแจ้ง → WO → สต็อกลด → ต้นทุน WO → OPEX งบประมาณ → KPI/รายงาน ถูกต้องทุกจุด</t>
        </is>
      </c>
      <c r="J535" s="10" t="inlineStr">
        <is>
          <t>High</t>
        </is>
      </c>
      <c r="K535" s="5" t="inlineStr">
        <is>
          <t>ผู้จัดการซ่อมบำรุง (maint.mgr)</t>
        </is>
      </c>
      <c r="L535" s="5" t="n"/>
      <c r="M535" s="10" t="inlineStr">
        <is>
          <t>ยังไม่ทดสอบ</t>
        </is>
      </c>
      <c r="N535" s="5" t="n"/>
      <c r="O535" s="18" t="n"/>
      <c r="P535" s="5" t="n"/>
      <c r="Q535" s="5" t="inlineStr">
        <is>
          <t>หลายหน้าจอ — ดูชีต End-to-End Scenarios</t>
        </is>
      </c>
    </row>
    <row r="536" ht="33" customHeight="1">
      <c r="A536" s="10" t="inlineStr">
        <is>
          <t>UAT-E2E-002</t>
        </is>
      </c>
      <c r="B536" s="5" t="inlineStr">
        <is>
          <t>End-to-End (ข้ามโมดูล)</t>
        </is>
      </c>
      <c r="C536" s="5" t="inlineStr">
        <is>
          <t>ข้ามโมดูล</t>
        </is>
      </c>
      <c r="D536" s="5" t="inlineStr">
        <is>
          <t>E2E-02 PR → PO → รับของ → ขึ้นทะเบียนทรัพย์สิน → ค่าเสื่อม</t>
        </is>
      </c>
      <c r="E536" s="10" t="inlineStr">
        <is>
          <t>Functional</t>
        </is>
      </c>
      <c r="F536" s="5" t="inlineStr">
        <is>
          <t>ข้อมูลตั้งต้นตามชีต E2E-02</t>
        </is>
      </c>
      <c r="G536" s="5" t="inlineStr">
        <is>
          <t>1. ทำตามขั้นตอน E2E-02</t>
        </is>
      </c>
      <c r="H536" s="5" t="inlineStr">
        <is>
          <t>Notebook Dell 5 เครื่อง × 32,000</t>
        </is>
      </c>
      <c r="I536" s="5" t="inlineStr">
        <is>
          <t>ทรัพย์สินขึ้นทะเบียนอัตโนมัติจาก PO; CAPEX ผูกพัน→จริง; ค่าเสื่อมงวดแรกถูกต้อง</t>
        </is>
      </c>
      <c r="J536" s="10" t="inlineStr">
        <is>
          <t>High</t>
        </is>
      </c>
      <c r="K536" s="5" t="inlineStr">
        <is>
          <t>เจ้าหน้าที่จัดซื้อ (purchase)</t>
        </is>
      </c>
      <c r="L536" s="5" t="n"/>
      <c r="M536" s="10" t="inlineStr">
        <is>
          <t>ยังไม่ทดสอบ</t>
        </is>
      </c>
      <c r="N536" s="5" t="n"/>
      <c r="O536" s="18" t="n"/>
      <c r="P536" s="5" t="n"/>
      <c r="Q536" s="5" t="inlineStr">
        <is>
          <t>หลายหน้าจอ — ดูชีต End-to-End Scenarios</t>
        </is>
      </c>
    </row>
    <row r="537" ht="33" customHeight="1">
      <c r="A537" s="10" t="inlineStr">
        <is>
          <t>UAT-E2E-003</t>
        </is>
      </c>
      <c r="B537" s="5" t="inlineStr">
        <is>
          <t>End-to-End (ข้ามโมดูล)</t>
        </is>
      </c>
      <c r="C537" s="5" t="inlineStr">
        <is>
          <t>ข้ามโมดูล</t>
        </is>
      </c>
      <c r="D537" s="5" t="inlineStr">
        <is>
          <t>E2E-03 แผน PM → WO อัตโนมัติ → เช็คลิสต์ → ปิดงาน → Compliance</t>
        </is>
      </c>
      <c r="E537" s="10" t="inlineStr">
        <is>
          <t>Functional</t>
        </is>
      </c>
      <c r="F537" s="5" t="inlineStr">
        <is>
          <t>ตามชีต E2E-03</t>
        </is>
      </c>
      <c r="G537" s="5" t="inlineStr">
        <is>
          <t>1. ทำตามขั้นตอน E2E-03</t>
        </is>
      </c>
      <c r="H537" s="5" t="inlineStr">
        <is>
          <t>แผน CONV-03 ทุก 30 วัน</t>
        </is>
      </c>
      <c r="I537" s="5" t="inlineStr">
        <is>
          <t>WO PM ถูกสร้างตาม Lead days; ปิดตรงเวลา; PM Compliance เพิ่ม</t>
        </is>
      </c>
      <c r="J537" s="10" t="inlineStr">
        <is>
          <t>High</t>
        </is>
      </c>
      <c r="K537" s="5" t="inlineStr">
        <is>
          <t>ผู้จัดการซ่อมบำรุง (maint.mgr)</t>
        </is>
      </c>
      <c r="L537" s="5" t="n"/>
      <c r="M537" s="10" t="inlineStr">
        <is>
          <t>ยังไม่ทดสอบ</t>
        </is>
      </c>
      <c r="N537" s="5" t="n"/>
      <c r="O537" s="18" t="n"/>
      <c r="P537" s="5" t="n"/>
      <c r="Q537" s="5" t="inlineStr">
        <is>
          <t>หลายหน้าจอ — ดูชีต End-to-End Scenarios</t>
        </is>
      </c>
    </row>
    <row r="538" ht="33" customHeight="1">
      <c r="A538" s="10" t="inlineStr">
        <is>
          <t>UAT-E2E-004</t>
        </is>
      </c>
      <c r="B538" s="5" t="inlineStr">
        <is>
          <t>End-to-End (ข้ามโมดูล)</t>
        </is>
      </c>
      <c r="C538" s="5" t="inlineStr">
        <is>
          <t>ข้ามโมดูล</t>
        </is>
      </c>
      <c r="D538" s="5" t="inlineStr">
        <is>
          <t>E2E-04 IoT alert → WO Predictive → RCA/CAPA</t>
        </is>
      </c>
      <c r="E538" s="10" t="inlineStr">
        <is>
          <t>Functional</t>
        </is>
      </c>
      <c r="F538" s="5" t="inlineStr">
        <is>
          <t>ตามชีต E2E-04</t>
        </is>
      </c>
      <c r="G538" s="5" t="inlineStr">
        <is>
          <t>1. ทำตามขั้นตอน E2E-04</t>
        </is>
      </c>
      <c r="H538" s="5" t="inlineStr">
        <is>
          <t>TMP-MTR007 86.5°C</t>
        </is>
      </c>
      <c r="I538" s="5" t="inlineStr">
        <is>
          <t>แจ้งเตือน LINE/Email, WO อัตโนมัติ, Health ลด, เปิด RCA และปิด CAPA ได้</t>
        </is>
      </c>
      <c r="J538" s="10" t="inlineStr">
        <is>
          <t>High</t>
        </is>
      </c>
      <c r="K538" s="5" t="inlineStr">
        <is>
          <t>ผู้จัดการซ่อมบำรุง (maint.mgr)</t>
        </is>
      </c>
      <c r="L538" s="5" t="n"/>
      <c r="M538" s="10" t="inlineStr">
        <is>
          <t>ยังไม่ทดสอบ</t>
        </is>
      </c>
      <c r="N538" s="5" t="n"/>
      <c r="O538" s="18" t="n"/>
      <c r="P538" s="5" t="n"/>
      <c r="Q538" s="5" t="inlineStr">
        <is>
          <t>หลายหน้าจอ — ดูชีต End-to-End Scenarios</t>
        </is>
      </c>
    </row>
    <row r="539" ht="33" customHeight="1">
      <c r="A539" s="10" t="inlineStr">
        <is>
          <t>UAT-E2E-005</t>
        </is>
      </c>
      <c r="B539" s="5" t="inlineStr">
        <is>
          <t>End-to-End (ข้ามโมดูล)</t>
        </is>
      </c>
      <c r="C539" s="5" t="inlineStr">
        <is>
          <t>ข้ามโมดูล</t>
        </is>
      </c>
      <c r="D539" s="5" t="inlineStr">
        <is>
          <t>E2E-05 ตรวจนับ → กระทบยอด → ปรับทะเบียน → รายงาน</t>
        </is>
      </c>
      <c r="E539" s="10" t="inlineStr">
        <is>
          <t>Functional</t>
        </is>
      </c>
      <c r="F539" s="5" t="inlineStr">
        <is>
          <t>ตามชีต E2E-05</t>
        </is>
      </c>
      <c r="G539" s="5" t="inlineStr">
        <is>
          <t>1. ทำตามขั้นตอน E2E-05</t>
        </is>
      </c>
      <c r="H539" s="5" t="inlineStr">
        <is>
          <t>รอบ ST-2569-0003</t>
        </is>
      </c>
      <c r="I539" s="5" t="inlineStr">
        <is>
          <t>ทะเบียนถูกปรับตามผลตรวจนับ รายงานผลการตรวจนับถูกต้อง</t>
        </is>
      </c>
      <c r="J539" s="10" t="inlineStr">
        <is>
          <t>High</t>
        </is>
      </c>
      <c r="K539" s="5" t="inlineStr">
        <is>
          <t>ผู้จัดการทรัพย์สิน (asset.mgr)</t>
        </is>
      </c>
      <c r="L539" s="5" t="n"/>
      <c r="M539" s="10" t="inlineStr">
        <is>
          <t>ยังไม่ทดสอบ</t>
        </is>
      </c>
      <c r="N539" s="5" t="n"/>
      <c r="O539" s="18" t="n"/>
      <c r="P539" s="5" t="n"/>
      <c r="Q539" s="5" t="inlineStr">
        <is>
          <t>หลายหน้าจอ — ดูชีต End-to-End Scenarios</t>
        </is>
      </c>
    </row>
    <row r="540" ht="33" customHeight="1">
      <c r="A540" s="10" t="inlineStr">
        <is>
          <t>UAT-E2E-006</t>
        </is>
      </c>
      <c r="B540" s="5" t="inlineStr">
        <is>
          <t>End-to-End (ข้ามโมดูล)</t>
        </is>
      </c>
      <c r="C540" s="5" t="inlineStr">
        <is>
          <t>ข้ามโมดูล</t>
        </is>
      </c>
      <c r="D540" s="5" t="inlineStr">
        <is>
          <t>E2E-06 โอนย้ายข้ามไซต์ 2 ชั้น → ติดตามตำแหน่ง</t>
        </is>
      </c>
      <c r="E540" s="10" t="inlineStr">
        <is>
          <t>Functional</t>
        </is>
      </c>
      <c r="F540" s="5" t="inlineStr">
        <is>
          <t>ตามชีต E2E-06</t>
        </is>
      </c>
      <c r="G540" s="5" t="inlineStr">
        <is>
          <t>1. ทำตามขั้นตอน E2E-06</t>
        </is>
      </c>
      <c r="H540" s="5" t="inlineStr">
        <is>
          <t>PC HP ProDesk 400</t>
        </is>
      </c>
      <c r="I540" s="5" t="inlineStr">
        <is>
          <t>ที่ตั้งและไซต์ในทะเบียน/Tracking อัปเดตเมื่อรับของ</t>
        </is>
      </c>
      <c r="J540" s="10" t="inlineStr">
        <is>
          <t>Medium</t>
        </is>
      </c>
      <c r="K540" s="5" t="inlineStr">
        <is>
          <t>ผู้จัดการทรัพย์สิน (asset.mgr)</t>
        </is>
      </c>
      <c r="L540" s="5" t="n"/>
      <c r="M540" s="10" t="inlineStr">
        <is>
          <t>ยังไม่ทดสอบ</t>
        </is>
      </c>
      <c r="N540" s="5" t="n"/>
      <c r="O540" s="18" t="n"/>
      <c r="P540" s="5" t="n"/>
      <c r="Q540" s="5" t="inlineStr">
        <is>
          <t>หลายหน้าจอ — ดูชีต End-to-End Scenarios</t>
        </is>
      </c>
    </row>
    <row r="541" ht="33" customHeight="1">
      <c r="A541" s="10" t="inlineStr">
        <is>
          <t>UAT-E2E-007</t>
        </is>
      </c>
      <c r="B541" s="5" t="inlineStr">
        <is>
          <t>End-to-End (ข้ามโมดูล)</t>
        </is>
      </c>
      <c r="C541" s="5" t="inlineStr">
        <is>
          <t>ข้ามโมดูล</t>
        </is>
      </c>
      <c r="D541" s="5" t="inlineStr">
        <is>
          <t>E2E-07 จำหน่ายทรัพย์สิน → ลงบัญชีกำไร/ขาดทุน → หยุดค่าเสื่อม</t>
        </is>
      </c>
      <c r="E541" s="10" t="inlineStr">
        <is>
          <t>Functional</t>
        </is>
      </c>
      <c r="F541" s="5" t="inlineStr">
        <is>
          <t>ตามชีต E2E-07</t>
        </is>
      </c>
      <c r="G541" s="5" t="inlineStr">
        <is>
          <t>1. ทำตามขั้นตอน E2E-07</t>
        </is>
      </c>
      <c r="H541" s="5" t="inlineStr">
        <is>
          <t>Dell R430</t>
        </is>
      </c>
      <c r="I541" s="5" t="inlineStr">
        <is>
          <t>JV กำไร/ขาดทุนถูกต้อง ไม่คิดค่าเสื่อมงวดถัดไป</t>
        </is>
      </c>
      <c r="J541" s="10" t="inlineStr">
        <is>
          <t>High</t>
        </is>
      </c>
      <c r="K541" s="5" t="inlineStr">
        <is>
          <t>บัญชีสินทรัพย์ (account)</t>
        </is>
      </c>
      <c r="L541" s="5" t="n"/>
      <c r="M541" s="10" t="inlineStr">
        <is>
          <t>ยังไม่ทดสอบ</t>
        </is>
      </c>
      <c r="N541" s="5" t="n"/>
      <c r="O541" s="18" t="n"/>
      <c r="P541" s="5" t="n"/>
      <c r="Q541" s="5" t="inlineStr">
        <is>
          <t>หลายหน้าจอ — ดูชีต End-to-End Scenarios</t>
        </is>
      </c>
    </row>
    <row r="542" ht="33" customHeight="1">
      <c r="A542" s="10" t="inlineStr">
        <is>
          <t>UAT-E2E-008</t>
        </is>
      </c>
      <c r="B542" s="5" t="inlineStr">
        <is>
          <t>End-to-End (ข้ามโมดูล)</t>
        </is>
      </c>
      <c r="C542" s="5" t="inlineStr">
        <is>
          <t>ข้ามโมดูล</t>
        </is>
      </c>
      <c r="D542" s="5" t="inlineStr">
        <is>
          <t>E2E-08 สอบเทียบไม่ผ่าน → ระงับเครื่องมือในเช็คลิสต์ → WO → ผ่าน</t>
        </is>
      </c>
      <c r="E542" s="10" t="inlineStr">
        <is>
          <t>Functional</t>
        </is>
      </c>
      <c r="F542" s="5" t="inlineStr">
        <is>
          <t>ตามชีต E2E-08</t>
        </is>
      </c>
      <c r="G542" s="5" t="inlineStr">
        <is>
          <t>1. ทำตามขั้นตอน E2E-08</t>
        </is>
      </c>
      <c r="H542" s="5" t="inlineStr">
        <is>
          <t>GAU-011</t>
        </is>
      </c>
      <c r="I542" s="5" t="inlineStr">
        <is>
          <t>เครื่องมือถูกระงับจนผลผ่าน</t>
        </is>
      </c>
      <c r="J542" s="10" t="inlineStr">
        <is>
          <t>Medium</t>
        </is>
      </c>
      <c r="K542" s="5" t="inlineStr">
        <is>
          <t>ผู้จัดการซ่อมบำรุง (maint.mgr)</t>
        </is>
      </c>
      <c r="L542" s="5" t="n"/>
      <c r="M542" s="10" t="inlineStr">
        <is>
          <t>ยังไม่ทดสอบ</t>
        </is>
      </c>
      <c r="N542" s="5" t="n"/>
      <c r="O542" s="18" t="n"/>
      <c r="P542" s="5" t="n"/>
      <c r="Q542" s="5" t="inlineStr">
        <is>
          <t>หลายหน้าจอ — ดูชีต End-to-End Scenarios</t>
        </is>
      </c>
    </row>
    <row r="543" ht="33" customHeight="1">
      <c r="A543" s="10" t="inlineStr">
        <is>
          <t>UAT-E2E-009</t>
        </is>
      </c>
      <c r="B543" s="5" t="inlineStr">
        <is>
          <t>End-to-End (ข้ามโมดูล)</t>
        </is>
      </c>
      <c r="C543" s="5" t="inlineStr">
        <is>
          <t>ข้ามโมดูล</t>
        </is>
      </c>
      <c r="D543" s="5" t="inlineStr">
        <is>
          <t>E2E-09 อะไหล่ต่ำกว่า ROP → PR เติมสต็อก → PO → รับของ</t>
        </is>
      </c>
      <c r="E543" s="10" t="inlineStr">
        <is>
          <t>Functional</t>
        </is>
      </c>
      <c r="F543" s="5" t="inlineStr">
        <is>
          <t>ตามชีต E2E-09</t>
        </is>
      </c>
      <c r="G543" s="5" t="inlineStr">
        <is>
          <t>1. ทำตามขั้นตอน E2E-09</t>
        </is>
      </c>
      <c r="H543" s="5" t="inlineStr">
        <is>
          <t>SP-BRG-6205</t>
        </is>
      </c>
      <c r="I543" s="5" t="inlineStr">
        <is>
          <t>ยอดคงเหลือ/ค้างรับ/ต้นทุนเฉลี่ยถูกต้อง</t>
        </is>
      </c>
      <c r="J543" s="10" t="inlineStr">
        <is>
          <t>High</t>
        </is>
      </c>
      <c r="K543" s="5" t="inlineStr">
        <is>
          <t>เจ้าหน้าที่คลัง (store)</t>
        </is>
      </c>
      <c r="L543" s="5" t="n"/>
      <c r="M543" s="10" t="inlineStr">
        <is>
          <t>ยังไม่ทดสอบ</t>
        </is>
      </c>
      <c r="N543" s="5" t="n"/>
      <c r="O543" s="18" t="n"/>
      <c r="P543" s="5" t="n"/>
      <c r="Q543" s="5" t="inlineStr">
        <is>
          <t>หลายหน้าจอ — ดูชีต End-to-End Scenarios</t>
        </is>
      </c>
    </row>
    <row r="544" ht="33" customHeight="1">
      <c r="A544" s="10" t="inlineStr">
        <is>
          <t>UAT-E2E-010</t>
        </is>
      </c>
      <c r="B544" s="5" t="inlineStr">
        <is>
          <t>End-to-End (ข้ามโมดูล)</t>
        </is>
      </c>
      <c r="C544" s="5" t="inlineStr">
        <is>
          <t>ข้ามโมดูล</t>
        </is>
      </c>
      <c r="D544" s="5" t="inlineStr">
        <is>
          <t>E2E-10 ไลเซนส์เกินสิทธิ์ → PR ซื้อเพิ่ม → อัปเดตสิทธิ์ → Compliance</t>
        </is>
      </c>
      <c r="E544" s="10" t="inlineStr">
        <is>
          <t>Functional</t>
        </is>
      </c>
      <c r="F544" s="5" t="inlineStr">
        <is>
          <t>ตามชีต E2E-10</t>
        </is>
      </c>
      <c r="G544" s="5" t="inlineStr">
        <is>
          <t>1. ทำตามขั้นตอน E2E-10</t>
        </is>
      </c>
      <c r="H544" s="5" t="inlineStr">
        <is>
          <t>AutoCAD +2</t>
        </is>
      </c>
      <c r="I544" s="5" t="inlineStr">
        <is>
          <t>Compliance กลับเป็นปกติ</t>
        </is>
      </c>
      <c r="J544" s="10" t="inlineStr">
        <is>
          <t>Medium</t>
        </is>
      </c>
      <c r="K544" s="5" t="inlineStr">
        <is>
          <t>ผู้ดูแลระบบ IT (it.admin)</t>
        </is>
      </c>
      <c r="L544" s="5" t="n"/>
      <c r="M544" s="10" t="inlineStr">
        <is>
          <t>ยังไม่ทดสอบ</t>
        </is>
      </c>
      <c r="N544" s="5" t="n"/>
      <c r="O544" s="18" t="n"/>
      <c r="P544" s="5" t="n"/>
      <c r="Q544" s="5" t="inlineStr">
        <is>
          <t>หลายหน้าจอ — ดูชีต End-to-End Scenarios</t>
        </is>
      </c>
    </row>
    <row r="545" ht="33" customHeight="1">
      <c r="A545" s="10" t="inlineStr">
        <is>
          <t>UAT-E2E-011</t>
        </is>
      </c>
      <c r="B545" s="5" t="inlineStr">
        <is>
          <t>End-to-End (ข้ามโมดูล)</t>
        </is>
      </c>
      <c r="C545" s="5" t="inlineStr">
        <is>
          <t>ข้ามโมดูล</t>
        </is>
      </c>
      <c r="D545" s="5" t="inlineStr">
        <is>
          <t>E2E-11 ผู้ใช้ใหม่ → บทบาท → ทำงานตามสิทธิ์ → Audit Log</t>
        </is>
      </c>
      <c r="E545" s="10" t="inlineStr">
        <is>
          <t>Functional</t>
        </is>
      </c>
      <c r="F545" s="5" t="inlineStr">
        <is>
          <t>ตามชีต E2E-11</t>
        </is>
      </c>
      <c r="G545" s="5" t="inlineStr">
        <is>
          <t>1. ทำตามขั้นตอน E2E-11</t>
        </is>
      </c>
      <c r="H545" s="5" t="inlineStr">
        <is>
          <t>ผู้ใช้ somsri</t>
        </is>
      </c>
      <c r="I545" s="5" t="inlineStr">
        <is>
          <t>สิทธิ์ทำงานถูกต้อง ทุกการกระทำถูกบันทึก</t>
        </is>
      </c>
      <c r="J545" s="10" t="inlineStr">
        <is>
          <t>High</t>
        </is>
      </c>
      <c r="K545" s="5" t="inlineStr">
        <is>
          <t>ผู้ดูแลระบบสูงสุด (admin)</t>
        </is>
      </c>
      <c r="L545" s="5" t="n"/>
      <c r="M545" s="10" t="inlineStr">
        <is>
          <t>ยังไม่ทดสอบ</t>
        </is>
      </c>
      <c r="N545" s="5" t="n"/>
      <c r="O545" s="18" t="n"/>
      <c r="P545" s="5" t="n"/>
      <c r="Q545" s="5" t="inlineStr">
        <is>
          <t>หลายหน้าจอ — ดูชีต End-to-End Scenarios</t>
        </is>
      </c>
    </row>
    <row r="546" ht="33" customHeight="1">
      <c r="A546" s="10" t="inlineStr">
        <is>
          <t>UAT-E2E-012</t>
        </is>
      </c>
      <c r="B546" s="5" t="inlineStr">
        <is>
          <t>End-to-End (ข้ามโมดูล)</t>
        </is>
      </c>
      <c r="C546" s="5" t="inlineStr">
        <is>
          <t>ข้ามโมดูล</t>
        </is>
      </c>
      <c r="D546" s="5" t="inlineStr">
        <is>
          <t>E2E-12 Custom Field → ใช้ในฟอร์ม → ค้นหา/รายงาน</t>
        </is>
      </c>
      <c r="E546" s="10" t="inlineStr">
        <is>
          <t>Functional</t>
        </is>
      </c>
      <c r="F546" s="5" t="inlineStr">
        <is>
          <t>ตามชีต E2E-12</t>
        </is>
      </c>
      <c r="G546" s="5" t="inlineStr">
        <is>
          <t>1. ทำตามขั้นตอน E2E-12</t>
        </is>
      </c>
      <c r="H546" s="5" t="inlineStr">
        <is>
          <t>ฟิลด์ Cost center</t>
        </is>
      </c>
      <c r="I546" s="5" t="inlineStr">
        <is>
          <t>ฟิลด์ใช้ได้ครบวงจร</t>
        </is>
      </c>
      <c r="J546" s="10" t="inlineStr">
        <is>
          <t>Medium</t>
        </is>
      </c>
      <c r="K546" s="5" t="inlineStr">
        <is>
          <t>ผู้ดูแลระบบสูงสุด (admin)</t>
        </is>
      </c>
      <c r="L546" s="5" t="n"/>
      <c r="M546" s="10" t="inlineStr">
        <is>
          <t>ยังไม่ทดสอบ</t>
        </is>
      </c>
      <c r="N546" s="5" t="n"/>
      <c r="O546" s="18" t="n"/>
      <c r="P546" s="5" t="n"/>
      <c r="Q546" s="5" t="inlineStr">
        <is>
          <t>หลายหน้าจอ — ดูชีต End-to-End Scenarios</t>
        </is>
      </c>
    </row>
  </sheetData>
  <autoFilter ref="A1:Q546"/>
  <conditionalFormatting sqref="M2:M546">
    <cfRule type="cellIs" priority="1" operator="equal" dxfId="1">
      <formula>"ผ่าน"</formula>
    </cfRule>
    <cfRule type="cellIs" priority="2" operator="equal" dxfId="2">
      <formula>"ไม่ผ่าน"</formula>
    </cfRule>
    <cfRule type="cellIs" priority="3" operator="equal" dxfId="3">
      <formula>"ติดเงื่อนไข"</formula>
    </cfRule>
  </conditionalFormatting>
  <conditionalFormatting sqref="J2:J546">
    <cfRule type="cellIs" priority="4" operator="equal" dxfId="4">
      <formula>"High"</formula>
    </cfRule>
  </conditionalFormatting>
  <conditionalFormatting sqref="P2:P546">
    <cfRule type="expression" priority="5" dxfId="5">
      <formula>ISNUMBER(SEARCH("ยังไม่มีหน้าจอ mockup",P2))</formula>
    </cfRule>
  </conditionalFormatting>
  <dataValidations count="4">
    <dataValidation sqref="M2:M546" showDropDown="0" showInputMessage="0" showErrorMessage="1" allowBlank="0" errorTitle="สถานะไม่ถูกต้อง" error="เลือก: ผ่าน / ไม่ผ่าน / ติดเงื่อนไข / ยังไม่ทดสอบ" type="list">
      <formula1>"ผ่าน,ไม่ผ่าน,ติดเงื่อนไข,ยังไม่ทดสอบ"</formula1>
    </dataValidation>
    <dataValidation sqref="J2:J546" showDropDown="0" showInputMessage="0" showErrorMessage="0" allowBlank="0" type="list">
      <formula1>"High,Medium,Low"</formula1>
    </dataValidation>
    <dataValidation sqref="E2:E546" showDropDown="0" showInputMessage="0" showErrorMessage="0" allowBlank="0" type="list">
      <formula1>"Functional,UI,Validation,Permission,Negative,Responsive"</formula1>
    </dataValidation>
    <dataValidation sqref="O2:O546" showDropDown="0" showInputMessage="0" showErrorMessage="1" allowBlank="1" error="กรอกวันที่ (วว/ดด/ปปปป)" type="date" operator="greaterThan">
      <formula1>DATE(2020,1,1)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30" customWidth="1" min="4" max="4"/>
    <col width="7" customWidth="1" min="5" max="5"/>
    <col width="22" customWidth="1" min="6" max="6"/>
    <col width="22" customWidth="1" min="7" max="7"/>
    <col width="42" customWidth="1" min="8" max="8"/>
    <col width="42" customWidth="1" min="9" max="9"/>
    <col width="13" customWidth="1" min="10" max="10"/>
    <col width="24" customWidth="1" min="11" max="11"/>
    <col width="14" customWidth="1" min="12" max="12"/>
    <col width="14" customWidth="1" min="13" max="13"/>
    <col width="13" customWidth="1" min="14" max="14"/>
    <col width="22" customWidth="1" min="15" max="15"/>
  </cols>
  <sheetData>
    <row r="1" ht="32" customHeight="1">
      <c r="A1" s="9" t="inlineStr">
        <is>
          <t>Scenario ID</t>
        </is>
      </c>
      <c r="B1" s="9" t="inlineStr">
        <is>
          <t>ชื่อ Scenario</t>
        </is>
      </c>
      <c r="C1" s="9" t="inlineStr">
        <is>
          <t>วัตถุประสงค์</t>
        </is>
      </c>
      <c r="D1" s="9" t="inlineStr">
        <is>
          <t>เงื่อนไขก่อนทดสอบ</t>
        </is>
      </c>
      <c r="E1" s="9" t="inlineStr">
        <is>
          <t>ขั้นที่</t>
        </is>
      </c>
      <c r="F1" s="9" t="inlineStr">
        <is>
          <t>โมดูล/หน้าจอ</t>
        </is>
      </c>
      <c r="G1" s="9" t="inlineStr">
        <is>
          <t>บทบาท</t>
        </is>
      </c>
      <c r="H1" s="9" t="inlineStr">
        <is>
          <t>การดำเนินการ</t>
        </is>
      </c>
      <c r="I1" s="9" t="inlineStr">
        <is>
          <t>ผลลัพธ์ที่คาดหวัง</t>
        </is>
      </c>
      <c r="J1" s="9" t="inlineStr">
        <is>
          <t>TC อ้างอิง</t>
        </is>
      </c>
      <c r="K1" s="9" t="inlineStr">
        <is>
          <t>ผลทดสอบจริง</t>
        </is>
      </c>
      <c r="L1" s="9" t="inlineStr">
        <is>
          <t>สถานะ</t>
        </is>
      </c>
      <c r="M1" s="9" t="inlineStr">
        <is>
          <t>ผู้ทดสอบ</t>
        </is>
      </c>
      <c r="N1" s="9" t="inlineStr">
        <is>
          <t>วันที่ทดสอบ</t>
        </is>
      </c>
      <c r="O1" s="9" t="inlineStr">
        <is>
          <t>หมายเหตุ/Defect ID</t>
        </is>
      </c>
    </row>
    <row r="2" ht="47.5" customHeight="1">
      <c r="A2" s="19" t="inlineStr">
        <is>
          <t>E2E-01</t>
        </is>
      </c>
      <c r="B2" s="20" t="inlineStr">
        <is>
          <t>แจ้งซ่อม → ใบสั่งงาน → เบิกอะไหล่ → ปิดงาน → ต้นทุน/งบประมาณ</t>
        </is>
      </c>
      <c r="C2" s="21" t="inlineStr">
        <is>
          <t>ยืนยันว่าข้อมูลการซ่อมไหลจากการแจ้งซ่อมจนถึงต้นทุนและ KPI ครบถ้วน</t>
        </is>
      </c>
      <c r="D2" s="21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2" s="22" t="n">
        <v>1</v>
      </c>
      <c r="F2" s="21" t="inlineStr">
        <is>
          <t>ใบแจ้งซ่อม</t>
        </is>
      </c>
      <c r="G2" s="21" t="inlineStr">
        <is>
          <t>ผู้แจ้งซ่อม/ผู้ใช้งานทั่วไป (user)</t>
        </is>
      </c>
      <c r="H2" s="21" t="inlineStr">
        <is>
          <t>แจ้งซ่อม CONV-03 ผ่าน wizard ความเร่งด่วน เครื่องหยุด แนบรูป</t>
        </is>
      </c>
      <c r="I2" s="21" t="inlineStr">
        <is>
          <t>ได้เลขใบแจ้ง สถานะ รอคัดกรอง; ผู้จัดการได้รับแจ้งเตือน</t>
        </is>
      </c>
      <c r="J2" s="22" t="inlineStr">
        <is>
          <t>UAT-RR-002</t>
        </is>
      </c>
      <c r="K2" s="21" t="n"/>
      <c r="L2" s="22" t="inlineStr">
        <is>
          <t>ยังไม่ทดสอบ</t>
        </is>
      </c>
      <c r="M2" s="21" t="n"/>
      <c r="N2" s="23" t="n"/>
      <c r="O2" s="21" t="n"/>
    </row>
    <row r="3" ht="33" customHeight="1">
      <c r="A3" s="22" t="inlineStr">
        <is>
          <t>E2E-01</t>
        </is>
      </c>
      <c r="B3" s="24" t="inlineStr">
        <is>
          <t>แจ้งซ่อม → ใบสั่งงาน → เบิกอะไหล่ → ปิดงาน → ต้นทุน/งบประมาณ</t>
        </is>
      </c>
      <c r="C3" s="24" t="inlineStr">
        <is>
          <t>ยืนยันว่าข้อมูลการซ่อมไหลจากการแจ้งซ่อมจนถึงต้นทุนและ KPI ครบถ้วน</t>
        </is>
      </c>
      <c r="D3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3" s="22" t="n">
        <v>2</v>
      </c>
      <c r="F3" s="21" t="inlineStr">
        <is>
          <t>ใบแจ้งซ่อม</t>
        </is>
      </c>
      <c r="G3" s="21" t="inlineStr">
        <is>
          <t>ผู้จัดการซ่อมบำรุง (maint.mgr)</t>
        </is>
      </c>
      <c r="H3" s="21" t="inlineStr">
        <is>
          <t>คัดกรองและกด เปิดใบสั่งงาน เลือก Breakdown/P1/ช่าง thanapol</t>
        </is>
      </c>
      <c r="I3" s="21" t="inlineStr">
        <is>
          <t>สร้าง WO สถานะ มอบหมายแล้ว; ใบแจ้งเป็น เปิดใบสั่งงานแล้ว</t>
        </is>
      </c>
      <c r="J3" s="22" t="inlineStr">
        <is>
          <t>UAT-RR-008</t>
        </is>
      </c>
      <c r="K3" s="21" t="n"/>
      <c r="L3" s="22" t="inlineStr">
        <is>
          <t>ยังไม่ทดสอบ</t>
        </is>
      </c>
      <c r="M3" s="21" t="n"/>
      <c r="N3" s="23" t="n"/>
      <c r="O3" s="21" t="n"/>
    </row>
    <row r="4" ht="18.5" customHeight="1">
      <c r="A4" s="22" t="inlineStr">
        <is>
          <t>E2E-01</t>
        </is>
      </c>
      <c r="B4" s="24" t="inlineStr">
        <is>
          <t>แจ้งซ่อม → ใบสั่งงาน → เบิกอะไหล่ → ปิดงาน → ต้นทุน/งบประมาณ</t>
        </is>
      </c>
      <c r="C4" s="24" t="inlineStr">
        <is>
          <t>ยืนยันว่าข้อมูลการซ่อมไหลจากการแจ้งซ่อมจนถึงต้นทุนและ KPI ครบถ้วน</t>
        </is>
      </c>
      <c r="D4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4" s="22" t="n">
        <v>3</v>
      </c>
      <c r="F4" s="21" t="inlineStr">
        <is>
          <t>ใบสั่งงาน</t>
        </is>
      </c>
      <c r="G4" s="21" t="inlineStr">
        <is>
          <t>ช่างซ่อมบำรุง (somchai)</t>
        </is>
      </c>
      <c r="H4" s="21" t="inlineStr">
        <is>
          <t>ช่างเปิด WO กด เริ่มงาน</t>
        </is>
      </c>
      <c r="I4" s="21" t="inlineStr">
        <is>
          <t>สถานะ กำลังซ่อม; ไทม์ไลน์บันทึกเวลาเริ่ม</t>
        </is>
      </c>
      <c r="J4" s="22" t="inlineStr">
        <is>
          <t>UAT-WO-012</t>
        </is>
      </c>
      <c r="K4" s="21" t="n"/>
      <c r="L4" s="22" t="inlineStr">
        <is>
          <t>ยังไม่ทดสอบ</t>
        </is>
      </c>
      <c r="M4" s="21" t="n"/>
      <c r="N4" s="23" t="n"/>
      <c r="O4" s="21" t="n"/>
    </row>
    <row r="5" ht="18.5" customHeight="1">
      <c r="A5" s="22" t="inlineStr">
        <is>
          <t>E2E-01</t>
        </is>
      </c>
      <c r="B5" s="24" t="inlineStr">
        <is>
          <t>แจ้งซ่อม → ใบสั่งงาน → เบิกอะไหล่ → ปิดงาน → ต้นทุน/งบประมาณ</t>
        </is>
      </c>
      <c r="C5" s="24" t="inlineStr">
        <is>
          <t>ยืนยันว่าข้อมูลการซ่อมไหลจากการแจ้งซ่อมจนถึงต้นทุนและ KPI ครบถ้วน</t>
        </is>
      </c>
      <c r="D5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5" s="22" t="n">
        <v>4</v>
      </c>
      <c r="F5" s="21" t="inlineStr">
        <is>
          <t>ใบสั่งงาน</t>
        </is>
      </c>
      <c r="G5" s="21" t="inlineStr">
        <is>
          <t>ช่างซ่อมบำรุง (somchai)</t>
        </is>
      </c>
      <c r="H5" s="21" t="inlineStr">
        <is>
          <t>เปลี่ยนสถานะ รออะไหล่/ผู้ขาย</t>
        </is>
      </c>
      <c r="I5" s="21" t="inlineStr">
        <is>
          <t>SLA หยุดนับ</t>
        </is>
      </c>
      <c r="J5" s="22" t="inlineStr">
        <is>
          <t>UAT-WO-013</t>
        </is>
      </c>
      <c r="K5" s="21" t="n"/>
      <c r="L5" s="22" t="inlineStr">
        <is>
          <t>ยังไม่ทดสอบ</t>
        </is>
      </c>
      <c r="M5" s="21" t="n"/>
      <c r="N5" s="23" t="n"/>
      <c r="O5" s="21" t="n"/>
    </row>
    <row r="6" ht="18.5" customHeight="1">
      <c r="A6" s="22" t="inlineStr">
        <is>
          <t>E2E-01</t>
        </is>
      </c>
      <c r="B6" s="24" t="inlineStr">
        <is>
          <t>แจ้งซ่อม → ใบสั่งงาน → เบิกอะไหล่ → ปิดงาน → ต้นทุน/งบประมาณ</t>
        </is>
      </c>
      <c r="C6" s="24" t="inlineStr">
        <is>
          <t>ยืนยันว่าข้อมูลการซ่อมไหลจากการแจ้งซ่อมจนถึงต้นทุนและ KPI ครบถ้วน</t>
        </is>
      </c>
      <c r="D6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6" s="22" t="n">
        <v>5</v>
      </c>
      <c r="F6" s="21" t="inlineStr">
        <is>
          <t>คลังอะไหล่</t>
        </is>
      </c>
      <c r="G6" s="21" t="inlineStr">
        <is>
          <t>เจ้าหน้าที่คลัง (store)</t>
        </is>
      </c>
      <c r="H6" s="21" t="inlineStr">
        <is>
          <t>เบิกลูกปืน 6205-2RS 2 ตัว อ้างอิง WO</t>
        </is>
      </c>
      <c r="I6" s="21" t="inlineStr">
        <is>
          <t>คงเหลือลด 2; ความเคลื่อนไหว เบิก WO</t>
        </is>
      </c>
      <c r="J6" s="22" t="inlineStr">
        <is>
          <t>UAT-SP-009</t>
        </is>
      </c>
      <c r="K6" s="21" t="n"/>
      <c r="L6" s="22" t="inlineStr">
        <is>
          <t>ยังไม่ทดสอบ</t>
        </is>
      </c>
      <c r="M6" s="21" t="n"/>
      <c r="N6" s="23" t="n"/>
      <c r="O6" s="21" t="n"/>
    </row>
    <row r="7" ht="33" customHeight="1">
      <c r="A7" s="22" t="inlineStr">
        <is>
          <t>E2E-01</t>
        </is>
      </c>
      <c r="B7" s="24" t="inlineStr">
        <is>
          <t>แจ้งซ่อม → ใบสั่งงาน → เบิกอะไหล่ → ปิดงาน → ต้นทุน/งบประมาณ</t>
        </is>
      </c>
      <c r="C7" s="24" t="inlineStr">
        <is>
          <t>ยืนยันว่าข้อมูลการซ่อมไหลจากการแจ้งซ่อมจนถึงต้นทุนและ KPI ครบถ้วน</t>
        </is>
      </c>
      <c r="D7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7" s="22" t="n">
        <v>6</v>
      </c>
      <c r="F7" s="21" t="inlineStr">
        <is>
          <t>ใบสั่งงาน</t>
        </is>
      </c>
      <c r="G7" s="21" t="inlineStr">
        <is>
          <t>ช่างซ่อมบำรุง (somchai)</t>
        </is>
      </c>
      <c r="H7" s="21" t="inlineStr">
        <is>
          <t>ทำงานต่อ กรอกเช็คลิสต์ ค่าแรง 3 ชม. แนบรูปหลังซ่อม กด ปิดงาน</t>
        </is>
      </c>
      <c r="I7" s="21" t="inlineStr">
        <is>
          <t>สถานะ ปิดงาน/รอตรวจรับ; Downtime หยุดนับ; ต้นทุน = ค่าแรง + อะไหล่</t>
        </is>
      </c>
      <c r="J7" s="22" t="inlineStr">
        <is>
          <t>UAT-WO-012</t>
        </is>
      </c>
      <c r="K7" s="21" t="n"/>
      <c r="L7" s="22" t="inlineStr">
        <is>
          <t>ยังไม่ทดสอบ</t>
        </is>
      </c>
      <c r="M7" s="21" t="n"/>
      <c r="N7" s="23" t="n"/>
      <c r="O7" s="21" t="n"/>
    </row>
    <row r="8" ht="18.5" customHeight="1">
      <c r="A8" s="22" t="inlineStr">
        <is>
          <t>E2E-01</t>
        </is>
      </c>
      <c r="B8" s="24" t="inlineStr">
        <is>
          <t>แจ้งซ่อม → ใบสั่งงาน → เบิกอะไหล่ → ปิดงาน → ต้นทุน/งบประมาณ</t>
        </is>
      </c>
      <c r="C8" s="24" t="inlineStr">
        <is>
          <t>ยืนยันว่าข้อมูลการซ่อมไหลจากการแจ้งซ่อมจนถึงต้นทุนและ KPI ครบถ้วน</t>
        </is>
      </c>
      <c r="D8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8" s="22" t="n">
        <v>7</v>
      </c>
      <c r="F8" s="21" t="inlineStr">
        <is>
          <t>ต้นทุน &amp; งบประมาณ</t>
        </is>
      </c>
      <c r="G8" s="21" t="inlineStr">
        <is>
          <t>บัญชีสินทรัพย์ (account)</t>
        </is>
      </c>
      <c r="H8" s="21" t="inlineStr">
        <is>
          <t>เปิดบรรทัดงบ OPEX ศูนย์ต้นทุน MT-01</t>
        </is>
      </c>
      <c r="I8" s="21" t="inlineStr">
        <is>
          <t>ยอดจริงเพิ่มเท่าต้นทุน WO</t>
        </is>
      </c>
      <c r="J8" s="22" t="inlineStr">
        <is>
          <t>UAT-BUD-008</t>
        </is>
      </c>
      <c r="K8" s="21" t="n"/>
      <c r="L8" s="22" t="inlineStr">
        <is>
          <t>ยังไม่ทดสอบ</t>
        </is>
      </c>
      <c r="M8" s="21" t="n"/>
      <c r="N8" s="23" t="n"/>
      <c r="O8" s="21" t="n"/>
    </row>
    <row r="9" ht="33" customHeight="1">
      <c r="A9" s="22" t="inlineStr">
        <is>
          <t>E2E-01</t>
        </is>
      </c>
      <c r="B9" s="24" t="inlineStr">
        <is>
          <t>แจ้งซ่อม → ใบสั่งงาน → เบิกอะไหล่ → ปิดงาน → ต้นทุน/งบประมาณ</t>
        </is>
      </c>
      <c r="C9" s="24" t="inlineStr">
        <is>
          <t>ยืนยันว่าข้อมูลการซ่อมไหลจากการแจ้งซ่อมจนถึงต้นทุนและ KPI ครบถ้วน</t>
        </is>
      </c>
      <c r="D9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9" s="22" t="n">
        <v>8</v>
      </c>
      <c r="F9" s="21" t="inlineStr">
        <is>
          <t>Command Center / รายงาน</t>
        </is>
      </c>
      <c r="G9" s="21" t="inlineStr">
        <is>
          <t>ผู้บริหาร (exec)</t>
        </is>
      </c>
      <c r="H9" s="21" t="inlineStr">
        <is>
          <t>ตรวจ MTTR, WO ค้าง, Bad actors และรายงาน KPI รายเดือน</t>
        </is>
      </c>
      <c r="I9" s="21" t="inlineStr">
        <is>
          <t>ตัวเลขอัปเดตสอดคล้องกัน</t>
        </is>
      </c>
      <c r="J9" s="22" t="inlineStr">
        <is>
          <t>UAT-RPT-007</t>
        </is>
      </c>
      <c r="K9" s="21" t="n"/>
      <c r="L9" s="22" t="inlineStr">
        <is>
          <t>ยังไม่ทดสอบ</t>
        </is>
      </c>
      <c r="M9" s="21" t="n"/>
      <c r="N9" s="23" t="n"/>
      <c r="O9" s="21" t="n"/>
    </row>
    <row r="10" ht="18.5" customHeight="1">
      <c r="A10" s="22" t="inlineStr">
        <is>
          <t>E2E-01</t>
        </is>
      </c>
      <c r="B10" s="24" t="inlineStr">
        <is>
          <t>แจ้งซ่อม → ใบสั่งงาน → เบิกอะไหล่ → ปิดงาน → ต้นทุน/งบประมาณ</t>
        </is>
      </c>
      <c r="C10" s="24" t="inlineStr">
        <is>
          <t>ยืนยันว่าข้อมูลการซ่อมไหลจากการแจ้งซ่อมจนถึงต้นทุนและ KPI ครบถ้วน</t>
        </is>
      </c>
      <c r="D10" s="24" t="inlineStr">
        <is>
          <t>ทรัพย์สิน CONV-03 สถานะใช้งาน; ลูกปืน 6205-2RS คงเหลือ WH-SKN ≥ 3; งบ OPEX ศูนย์ต้นทุน MT-01 มีอยู่</t>
        </is>
      </c>
      <c r="E10" s="22" t="n">
        <v>9</v>
      </c>
      <c r="F10" s="21" t="inlineStr">
        <is>
          <t>Audit Log</t>
        </is>
      </c>
      <c r="G10" s="21" t="inlineStr">
        <is>
          <t>ผู้ตรวจสอบ (auditor)</t>
        </is>
      </c>
      <c r="H10" s="21" t="inlineStr">
        <is>
          <t>กรองโมดูล wo/requests</t>
        </is>
      </c>
      <c r="I10" s="21" t="inlineStr">
        <is>
          <t>มีเหตุการณ์ครบทุกขั้น</t>
        </is>
      </c>
      <c r="J10" s="22" t="inlineStr">
        <is>
          <t>UAT-AUD-008</t>
        </is>
      </c>
      <c r="K10" s="21" t="n"/>
      <c r="L10" s="22" t="inlineStr">
        <is>
          <t>ยังไม่ทดสอบ</t>
        </is>
      </c>
      <c r="M10" s="21" t="n"/>
      <c r="N10" s="23" t="n"/>
      <c r="O10" s="21" t="n"/>
    </row>
    <row r="11" ht="47.5" customHeight="1">
      <c r="A11" s="25" t="inlineStr">
        <is>
          <t>E2E-02</t>
        </is>
      </c>
      <c r="B11" s="4" t="inlineStr">
        <is>
          <t>PR → PO → รับของ → ขึ้นทะเบียนทรัพย์สิน → ค่าเสื่อมราคา</t>
        </is>
      </c>
      <c r="C11" s="26" t="inlineStr">
        <is>
          <t>ยืนยันวงจรจัดซื้อสินทรัพย์ถาวรจนถึงบัญชีค่าเสื่อม</t>
        </is>
      </c>
      <c r="D11" s="26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1" s="27" t="n">
        <v>1</v>
      </c>
      <c r="F11" s="26" t="inlineStr">
        <is>
          <t>จัดซื้อ PR/PO</t>
        </is>
      </c>
      <c r="G11" s="26" t="inlineStr">
        <is>
          <t>เจ้าหน้าที่จัดซื้อ (purchase)</t>
        </is>
      </c>
      <c r="H11" s="26" t="inlineStr">
        <is>
          <t>สร้าง PR ประเภท ขอซื้อทั่วไป งบ CAPEX: Notebook 5 × 32,000</t>
        </is>
      </c>
      <c r="I11" s="26" t="inlineStr">
        <is>
          <t>ยอดรวม 160,000.00; สถานะ รออนุมัติ</t>
        </is>
      </c>
      <c r="J11" s="27" t="inlineStr">
        <is>
          <t>UAT-PUR-002</t>
        </is>
      </c>
      <c r="K11" s="26" t="n"/>
      <c r="L11" s="27" t="inlineStr">
        <is>
          <t>ยังไม่ทดสอบ</t>
        </is>
      </c>
      <c r="M11" s="26" t="n"/>
      <c r="N11" s="28" t="n"/>
      <c r="O11" s="26" t="n"/>
    </row>
    <row r="12" ht="18.5" customHeight="1">
      <c r="A12" s="27" t="inlineStr">
        <is>
          <t>E2E-02</t>
        </is>
      </c>
      <c r="B12" s="29" t="inlineStr">
        <is>
          <t>PR → PO → รับของ → ขึ้นทะเบียนทรัพย์สิน → ค่าเสื่อมราคา</t>
        </is>
      </c>
      <c r="C12" s="29" t="inlineStr">
        <is>
          <t>ยืนยันวงจรจัดซื้อสินทรัพย์ถาวรจนถึงบัญชีค่าเสื่อม</t>
        </is>
      </c>
      <c r="D12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2" s="27" t="n">
        <v>2</v>
      </c>
      <c r="F12" s="26" t="inlineStr">
        <is>
          <t>จัดซื้อ PR/PO</t>
        </is>
      </c>
      <c r="G12" s="26" t="inlineStr">
        <is>
          <t>ผู้บริหาร (exec)</t>
        </is>
      </c>
      <c r="H12" s="26" t="inlineStr">
        <is>
          <t>อนุมัติ PR (ผู้ขอไม่ใช่ผู้อนุมัติ)</t>
        </is>
      </c>
      <c r="I12" s="26" t="inlineStr">
        <is>
          <t>สถานะ อนุมัติแล้ว</t>
        </is>
      </c>
      <c r="J12" s="27" t="inlineStr">
        <is>
          <t>UAT-PUR-007</t>
        </is>
      </c>
      <c r="K12" s="26" t="n"/>
      <c r="L12" s="27" t="inlineStr">
        <is>
          <t>ยังไม่ทดสอบ</t>
        </is>
      </c>
      <c r="M12" s="26" t="n"/>
      <c r="N12" s="28" t="n"/>
      <c r="O12" s="26" t="n"/>
    </row>
    <row r="13" ht="33" customHeight="1">
      <c r="A13" s="27" t="inlineStr">
        <is>
          <t>E2E-02</t>
        </is>
      </c>
      <c r="B13" s="29" t="inlineStr">
        <is>
          <t>PR → PO → รับของ → ขึ้นทะเบียนทรัพย์สิน → ค่าเสื่อมราคา</t>
        </is>
      </c>
      <c r="C13" s="29" t="inlineStr">
        <is>
          <t>ยืนยันวงจรจัดซื้อสินทรัพย์ถาวรจนถึงบัญชีค่าเสื่อม</t>
        </is>
      </c>
      <c r="D13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3" s="27" t="n">
        <v>3</v>
      </c>
      <c r="F13" s="26" t="inlineStr">
        <is>
          <t>จัดซื้อ PR/PO</t>
        </is>
      </c>
      <c r="G13" s="26" t="inlineStr">
        <is>
          <t>เจ้าหน้าที่จัดซื้อ (purchase)</t>
        </is>
      </c>
      <c r="H13" s="26" t="inlineStr">
        <is>
          <t>ออก PO (เกินวงเงินต้องผ่านอนุมัติ)</t>
        </is>
      </c>
      <c r="I13" s="26" t="inlineStr">
        <is>
          <t>PO สถานะ รอส่ง; PR ออก PO แล้ว; CAPEX ผูกพัน +171,200 (รวม VAT)</t>
        </is>
      </c>
      <c r="J13" s="27" t="inlineStr">
        <is>
          <t>UAT-PUR-011</t>
        </is>
      </c>
      <c r="K13" s="26" t="n"/>
      <c r="L13" s="27" t="inlineStr">
        <is>
          <t>ยังไม่ทดสอบ</t>
        </is>
      </c>
      <c r="M13" s="26" t="n"/>
      <c r="N13" s="28" t="n"/>
      <c r="O13" s="26" t="n"/>
    </row>
    <row r="14" ht="18.5" customHeight="1">
      <c r="A14" s="27" t="inlineStr">
        <is>
          <t>E2E-02</t>
        </is>
      </c>
      <c r="B14" s="29" t="inlineStr">
        <is>
          <t>PR → PO → รับของ → ขึ้นทะเบียนทรัพย์สิน → ค่าเสื่อมราคา</t>
        </is>
      </c>
      <c r="C14" s="29" t="inlineStr">
        <is>
          <t>ยืนยันวงจรจัดซื้อสินทรัพย์ถาวรจนถึงบัญชีค่าเสื่อม</t>
        </is>
      </c>
      <c r="D14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4" s="27" t="n">
        <v>4</v>
      </c>
      <c r="F14" s="26" t="inlineStr">
        <is>
          <t>ต้นทุน &amp; งบประมาณ</t>
        </is>
      </c>
      <c r="G14" s="26" t="inlineStr">
        <is>
          <t>บัญชีสินทรัพย์ (account)</t>
        </is>
      </c>
      <c r="H14" s="26" t="inlineStr">
        <is>
          <t>ตรวจ CAPEX จริง+ผูกพัน</t>
        </is>
      </c>
      <c r="I14" s="26" t="inlineStr">
        <is>
          <t>ผูกพันเพิ่มตาม PO</t>
        </is>
      </c>
      <c r="J14" s="27" t="inlineStr">
        <is>
          <t>UAT-BUD-001</t>
        </is>
      </c>
      <c r="K14" s="26" t="n"/>
      <c r="L14" s="27" t="inlineStr">
        <is>
          <t>ยังไม่ทดสอบ</t>
        </is>
      </c>
      <c r="M14" s="26" t="n"/>
      <c r="N14" s="28" t="n"/>
      <c r="O14" s="26" t="n"/>
    </row>
    <row r="15" ht="18.5" customHeight="1">
      <c r="A15" s="27" t="inlineStr">
        <is>
          <t>E2E-02</t>
        </is>
      </c>
      <c r="B15" s="29" t="inlineStr">
        <is>
          <t>PR → PO → รับของ → ขึ้นทะเบียนทรัพย์สิน → ค่าเสื่อมราคา</t>
        </is>
      </c>
      <c r="C15" s="29" t="inlineStr">
        <is>
          <t>ยืนยันวงจรจัดซื้อสินทรัพย์ถาวรจนถึงบัญชีค่าเสื่อม</t>
        </is>
      </c>
      <c r="D15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5" s="27" t="n">
        <v>5</v>
      </c>
      <c r="F15" s="26" t="inlineStr">
        <is>
          <t>จัดซื้อ PR/PO</t>
        </is>
      </c>
      <c r="G15" s="26" t="inlineStr">
        <is>
          <t>เจ้าหน้าที่คลัง (store)</t>
        </is>
      </c>
      <c r="H15" s="26" t="inlineStr">
        <is>
          <t>บันทึกรับของครบ 5 เครื่อง</t>
        </is>
      </c>
      <c r="I15" s="26" t="inlineStr">
        <is>
          <t>PO รับครบ; ขั้น ขึ้นทะเบียนทรัพย์สิน active</t>
        </is>
      </c>
      <c r="J15" s="27" t="inlineStr">
        <is>
          <t>UAT-PUR-012</t>
        </is>
      </c>
      <c r="K15" s="26" t="n"/>
      <c r="L15" s="27" t="inlineStr">
        <is>
          <t>ยังไม่ทดสอบ</t>
        </is>
      </c>
      <c r="M15" s="26" t="n"/>
      <c r="N15" s="28" t="n"/>
      <c r="O15" s="26" t="n"/>
    </row>
    <row r="16" ht="33" customHeight="1">
      <c r="A16" s="27" t="inlineStr">
        <is>
          <t>E2E-02</t>
        </is>
      </c>
      <c r="B16" s="29" t="inlineStr">
        <is>
          <t>PR → PO → รับของ → ขึ้นทะเบียนทรัพย์สิน → ค่าเสื่อมราคา</t>
        </is>
      </c>
      <c r="C16" s="29" t="inlineStr">
        <is>
          <t>ยืนยันวงจรจัดซื้อสินทรัพย์ถาวรจนถึงบัญชีค่าเสื่อม</t>
        </is>
      </c>
      <c r="D16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6" s="27" t="n">
        <v>6</v>
      </c>
      <c r="F16" s="26" t="inlineStr">
        <is>
          <t>ทะเบียนทรัพย์สินกลาง</t>
        </is>
      </c>
      <c r="G16" s="26" t="inlineStr">
        <is>
          <t>ผู้จัดการทรัพย์สิน (asset.mgr)</t>
        </is>
      </c>
      <c r="H16" s="26" t="inlineStr">
        <is>
          <t>ขึ้นทะเบียน 5 รายการจาก PO (ราคาทุนจาก PO, เส้นตรง 36 เดือน, ซาก 1)</t>
        </is>
      </c>
      <c r="I16" s="26" t="inlineStr">
        <is>
          <t>ได้ Asset Tag 5 รายการ; ลิงก์ PO ใน Asset 360</t>
        </is>
      </c>
      <c r="J16" s="27" t="inlineStr">
        <is>
          <t>UAT-AST-006</t>
        </is>
      </c>
      <c r="K16" s="26" t="n"/>
      <c r="L16" s="27" t="inlineStr">
        <is>
          <t>ยังไม่ทดสอบ</t>
        </is>
      </c>
      <c r="M16" s="26" t="n"/>
      <c r="N16" s="28" t="n"/>
      <c r="O16" s="26" t="n"/>
    </row>
    <row r="17" ht="18.5" customHeight="1">
      <c r="A17" s="27" t="inlineStr">
        <is>
          <t>E2E-02</t>
        </is>
      </c>
      <c r="B17" s="29" t="inlineStr">
        <is>
          <t>PR → PO → รับของ → ขึ้นทะเบียนทรัพย์สิน → ค่าเสื่อมราคา</t>
        </is>
      </c>
      <c r="C17" s="29" t="inlineStr">
        <is>
          <t>ยืนยันวงจรจัดซื้อสินทรัพย์ถาวรจนถึงบัญชีค่าเสื่อม</t>
        </is>
      </c>
      <c r="D17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7" s="27" t="n">
        <v>7</v>
      </c>
      <c r="F17" s="26" t="inlineStr">
        <is>
          <t>พิมพ์ป้าย QR/Barcode</t>
        </is>
      </c>
      <c r="G17" s="26" t="inlineStr">
        <is>
          <t>ผู้จัดการทรัพย์สิน (asset.mgr)</t>
        </is>
      </c>
      <c r="H17" s="26" t="inlineStr">
        <is>
          <t>พิมพ์ป้าย 5 รายการ</t>
        </is>
      </c>
      <c r="I17" s="26" t="inlineStr">
        <is>
          <t>ป้ายถูกต้อง สแกนเปิดทรัพย์สินได้</t>
        </is>
      </c>
      <c r="J17" s="27" t="inlineStr">
        <is>
          <t>UAT-LBL-002</t>
        </is>
      </c>
      <c r="K17" s="26" t="n"/>
      <c r="L17" s="27" t="inlineStr">
        <is>
          <t>ยังไม่ทดสอบ</t>
        </is>
      </c>
      <c r="M17" s="26" t="n"/>
      <c r="N17" s="28" t="n"/>
      <c r="O17" s="26" t="n"/>
    </row>
    <row r="18" ht="33" customHeight="1">
      <c r="A18" s="27" t="inlineStr">
        <is>
          <t>E2E-02</t>
        </is>
      </c>
      <c r="B18" s="29" t="inlineStr">
        <is>
          <t>PR → PO → รับของ → ขึ้นทะเบียนทรัพย์สิน → ค่าเสื่อมราคา</t>
        </is>
      </c>
      <c r="C18" s="29" t="inlineStr">
        <is>
          <t>ยืนยันวงจรจัดซื้อสินทรัพย์ถาวรจนถึงบัญชีค่าเสื่อม</t>
        </is>
      </c>
      <c r="D18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8" s="27" t="n">
        <v>8</v>
      </c>
      <c r="F18" s="26" t="inlineStr">
        <is>
          <t>สินทรัพย์ถาวร &amp; ค่าเสื่อม</t>
        </is>
      </c>
      <c r="G18" s="26" t="inlineStr">
        <is>
          <t>บัญชีสินทรัพย์ (account)</t>
        </is>
      </c>
      <c r="H18" s="26" t="inlineStr">
        <is>
          <t>ปิดงวดเดือนที่เริ่มใช้งาน</t>
        </is>
      </c>
      <c r="I18" s="26" t="inlineStr">
        <is>
          <t>ค่าเสื่อมงวดแรก ≈ 888.86/เครื่อง (31,999/36); JV ถูกต้อง</t>
        </is>
      </c>
      <c r="J18" s="27" t="inlineStr">
        <is>
          <t>UAT-FA-005</t>
        </is>
      </c>
      <c r="K18" s="26" t="n"/>
      <c r="L18" s="27" t="inlineStr">
        <is>
          <t>ยังไม่ทดสอบ</t>
        </is>
      </c>
      <c r="M18" s="26" t="n"/>
      <c r="N18" s="28" t="n"/>
      <c r="O18" s="26" t="n"/>
    </row>
    <row r="19" ht="18.5" customHeight="1">
      <c r="A19" s="27" t="inlineStr">
        <is>
          <t>E2E-02</t>
        </is>
      </c>
      <c r="B19" s="29" t="inlineStr">
        <is>
          <t>PR → PO → รับของ → ขึ้นทะเบียนทรัพย์สิน → ค่าเสื่อมราคา</t>
        </is>
      </c>
      <c r="C19" s="29" t="inlineStr">
        <is>
          <t>ยืนยันวงจรจัดซื้อสินทรัพย์ถาวรจนถึงบัญชีค่าเสื่อม</t>
        </is>
      </c>
      <c r="D19" s="29" t="inlineStr">
        <is>
          <t>งบ CAPEX คงเหลือพอ; ผู้ขาย บจก. ไซเบอร์ซีเคียว อยู่ในข้อมูลหลัก; วงเงิน PO 50,000</t>
        </is>
      </c>
      <c r="E19" s="27" t="n">
        <v>9</v>
      </c>
      <c r="F19" s="26" t="inlineStr">
        <is>
          <t>ต้นทุน &amp; งบประมาณ</t>
        </is>
      </c>
      <c r="G19" s="26" t="inlineStr">
        <is>
          <t>บัญชีสินทรัพย์ (account)</t>
        </is>
      </c>
      <c r="H19" s="26" t="inlineStr">
        <is>
          <t>ตรวจ CAPEX</t>
        </is>
      </c>
      <c r="I19" s="26" t="inlineStr">
        <is>
          <t>ผูกพันเปลี่ยนเป็นจริง</t>
        </is>
      </c>
      <c r="J19" s="27" t="inlineStr">
        <is>
          <t>UAT-BUD-001</t>
        </is>
      </c>
      <c r="K19" s="26" t="n"/>
      <c r="L19" s="27" t="inlineStr">
        <is>
          <t>ยังไม่ทดสอบ</t>
        </is>
      </c>
      <c r="M19" s="26" t="n"/>
      <c r="N19" s="28" t="n"/>
      <c r="O19" s="26" t="n"/>
    </row>
    <row r="20" ht="33" customHeight="1">
      <c r="A20" s="19" t="inlineStr">
        <is>
          <t>E2E-03</t>
        </is>
      </c>
      <c r="B20" s="20" t="inlineStr">
        <is>
          <t>แผน PM → สร้างใบงานอัตโนมัติ → เช็คลิสต์ → ปิดงาน → PM Compliance</t>
        </is>
      </c>
      <c r="C20" s="21" t="inlineStr">
        <is>
          <t>ยืนยันการทำ PM ตามแผนและการวัด Compliance</t>
        </is>
      </c>
      <c r="D20" s="21" t="inlineStr">
        <is>
          <t>แผน CONV-03 ทุก 30 วัน Lead 7 วัน เช็คลิสต์ CL-001; Cron pm_generate ทำงาน</t>
        </is>
      </c>
      <c r="E20" s="22" t="n">
        <v>1</v>
      </c>
      <c r="F20" s="21" t="inlineStr">
        <is>
          <t>แผน PM &amp; เช็คลิสต์</t>
        </is>
      </c>
      <c r="G20" s="21" t="inlineStr">
        <is>
          <t>ผู้จัดการซ่อมบำรุง (maint.mgr)</t>
        </is>
      </c>
      <c r="H20" s="21" t="inlineStr">
        <is>
          <t>สร้างแผน Fixed ทุก 30 วัน Lead 7</t>
        </is>
      </c>
      <c r="I20" s="21" t="inlineStr">
        <is>
          <t>แผนบันทึกพร้อมวันครบกำหนด</t>
        </is>
      </c>
      <c r="J20" s="22" t="inlineStr">
        <is>
          <t>UAT-PM-002</t>
        </is>
      </c>
      <c r="K20" s="21" t="n"/>
      <c r="L20" s="22" t="inlineStr">
        <is>
          <t>ยังไม่ทดสอบ</t>
        </is>
      </c>
      <c r="M20" s="21" t="n"/>
      <c r="N20" s="23" t="n"/>
      <c r="O20" s="21" t="n"/>
    </row>
    <row r="21" ht="18.5" customHeight="1">
      <c r="A21" s="22" t="inlineStr">
        <is>
          <t>E2E-03</t>
        </is>
      </c>
      <c r="B21" s="24" t="inlineStr">
        <is>
          <t>แผน PM → สร้างใบงานอัตโนมัติ → เช็คลิสต์ → ปิดงาน → PM Compliance</t>
        </is>
      </c>
      <c r="C21" s="24" t="inlineStr">
        <is>
          <t>ยืนยันการทำ PM ตามแผนและการวัด Compliance</t>
        </is>
      </c>
      <c r="D21" s="24" t="inlineStr">
        <is>
          <t>แผน CONV-03 ทุก 30 วัน Lead 7 วัน เช็คลิสต์ CL-001; Cron pm_generate ทำงาน</t>
        </is>
      </c>
      <c r="E21" s="22" t="n">
        <v>2</v>
      </c>
      <c r="F21" s="21" t="inlineStr">
        <is>
          <t>การแจ้งเตือน &amp; Cron</t>
        </is>
      </c>
      <c r="G21" s="21" t="inlineStr">
        <is>
          <t>ผู้ดูแลระบบ IT (it.admin)</t>
        </is>
      </c>
      <c r="H21" s="21" t="inlineStr">
        <is>
          <t>รันเลย งาน pm_generate เมื่อถึง Lead days</t>
        </is>
      </c>
      <c r="I21" s="21" t="inlineStr">
        <is>
          <t>สร้าง WO ประเภท PM 1 ใบ; คอลัมน์ใบงานค้างแสดงเลข WO</t>
        </is>
      </c>
      <c r="J21" s="22" t="inlineStr">
        <is>
          <t>UAT-SET-014</t>
        </is>
      </c>
      <c r="K21" s="21" t="n"/>
      <c r="L21" s="22" t="inlineStr">
        <is>
          <t>ยังไม่ทดสอบ</t>
        </is>
      </c>
      <c r="M21" s="21" t="n"/>
      <c r="N21" s="23" t="n"/>
      <c r="O21" s="21" t="n"/>
    </row>
    <row r="22" ht="18.5" customHeight="1">
      <c r="A22" s="22" t="inlineStr">
        <is>
          <t>E2E-03</t>
        </is>
      </c>
      <c r="B22" s="24" t="inlineStr">
        <is>
          <t>แผน PM → สร้างใบงานอัตโนมัติ → เช็คลิสต์ → ปิดงาน → PM Compliance</t>
        </is>
      </c>
      <c r="C22" s="24" t="inlineStr">
        <is>
          <t>ยืนยันการทำ PM ตามแผนและการวัด Compliance</t>
        </is>
      </c>
      <c r="D22" s="24" t="inlineStr">
        <is>
          <t>แผน CONV-03 ทุก 30 วัน Lead 7 วัน เช็คลิสต์ CL-001; Cron pm_generate ทำงาน</t>
        </is>
      </c>
      <c r="E22" s="22" t="n">
        <v>3</v>
      </c>
      <c r="F22" s="21" t="inlineStr">
        <is>
          <t>แผน PM &amp; เช็คลิสต์</t>
        </is>
      </c>
      <c r="G22" s="21" t="inlineStr">
        <is>
          <t>ผู้จัดการซ่อมบำรุง (maint.mgr)</t>
        </is>
      </c>
      <c r="H22" s="21" t="inlineStr">
        <is>
          <t>พยายามสร้างใบงานซ้ำจากแผนเดียว</t>
        </is>
      </c>
      <c r="I22" s="21" t="inlineStr">
        <is>
          <t>ระบบปฏิเสธ (1 แผนค้างได้ 1 ใบ)</t>
        </is>
      </c>
      <c r="J22" s="22" t="inlineStr">
        <is>
          <t>UAT-PM-007</t>
        </is>
      </c>
      <c r="K22" s="21" t="n"/>
      <c r="L22" s="22" t="inlineStr">
        <is>
          <t>ยังไม่ทดสอบ</t>
        </is>
      </c>
      <c r="M22" s="21" t="n"/>
      <c r="N22" s="23" t="n"/>
      <c r="O22" s="21" t="n"/>
    </row>
    <row r="23" ht="18.5" customHeight="1">
      <c r="A23" s="22" t="inlineStr">
        <is>
          <t>E2E-03</t>
        </is>
      </c>
      <c r="B23" s="24" t="inlineStr">
        <is>
          <t>แผน PM → สร้างใบงานอัตโนมัติ → เช็คลิสต์ → ปิดงาน → PM Compliance</t>
        </is>
      </c>
      <c r="C23" s="24" t="inlineStr">
        <is>
          <t>ยืนยันการทำ PM ตามแผนและการวัด Compliance</t>
        </is>
      </c>
      <c r="D23" s="24" t="inlineStr">
        <is>
          <t>แผน CONV-03 ทุก 30 วัน Lead 7 วัน เช็คลิสต์ CL-001; Cron pm_generate ทำงาน</t>
        </is>
      </c>
      <c r="E23" s="22" t="n">
        <v>4</v>
      </c>
      <c r="F23" s="21" t="inlineStr">
        <is>
          <t>ใบสั่งงาน</t>
        </is>
      </c>
      <c r="G23" s="21" t="inlineStr">
        <is>
          <t>ช่างซ่อมบำรุง (somchai)</t>
        </is>
      </c>
      <c r="H23" s="21" t="inlineStr">
        <is>
          <t>กรอกเช็คลิสต์ (ความตึงสายพาน 15 มม.) และปิดงานตรงเวลา</t>
        </is>
      </c>
      <c r="I23" s="21" t="inlineStr">
        <is>
          <t>ปิดงานสำเร็จ</t>
        </is>
      </c>
      <c r="J23" s="22" t="inlineStr">
        <is>
          <t>UAT-WO-012</t>
        </is>
      </c>
      <c r="K23" s="21" t="n"/>
      <c r="L23" s="22" t="inlineStr">
        <is>
          <t>ยังไม่ทดสอบ</t>
        </is>
      </c>
      <c r="M23" s="21" t="n"/>
      <c r="N23" s="23" t="n"/>
      <c r="O23" s="21" t="n"/>
    </row>
    <row r="24" ht="18.5" customHeight="1">
      <c r="A24" s="22" t="inlineStr">
        <is>
          <t>E2E-03</t>
        </is>
      </c>
      <c r="B24" s="24" t="inlineStr">
        <is>
          <t>แผน PM → สร้างใบงานอัตโนมัติ → เช็คลิสต์ → ปิดงาน → PM Compliance</t>
        </is>
      </c>
      <c r="C24" s="24" t="inlineStr">
        <is>
          <t>ยืนยันการทำ PM ตามแผนและการวัด Compliance</t>
        </is>
      </c>
      <c r="D24" s="24" t="inlineStr">
        <is>
          <t>แผน CONV-03 ทุก 30 วัน Lead 7 วัน เช็คลิสต์ CL-001; Cron pm_generate ทำงาน</t>
        </is>
      </c>
      <c r="E24" s="22" t="n">
        <v>5</v>
      </c>
      <c r="F24" s="21" t="inlineStr">
        <is>
          <t>แผน PM &amp; เช็คลิสต์</t>
        </is>
      </c>
      <c r="G24" s="21" t="inlineStr">
        <is>
          <t>ผู้จัดการซ่อมบำรุง (maint.mgr)</t>
        </is>
      </c>
      <c r="H24" s="21" t="inlineStr">
        <is>
          <t>ตรวจวันครบกำหนดถัดไปและ KPI PM Compliance</t>
        </is>
      </c>
      <c r="I24" s="21" t="inlineStr">
        <is>
          <t>ครบกำหนดถัดไป +30 วัน; Compliance เพิ่ม</t>
        </is>
      </c>
      <c r="J24" s="22" t="inlineStr">
        <is>
          <t>UAT-PM-010</t>
        </is>
      </c>
      <c r="K24" s="21" t="n"/>
      <c r="L24" s="22" t="inlineStr">
        <is>
          <t>ยังไม่ทดสอบ</t>
        </is>
      </c>
      <c r="M24" s="21" t="n"/>
      <c r="N24" s="23" t="n"/>
      <c r="O24" s="21" t="n"/>
    </row>
    <row r="25" ht="18.5" customHeight="1">
      <c r="A25" s="22" t="inlineStr">
        <is>
          <t>E2E-03</t>
        </is>
      </c>
      <c r="B25" s="24" t="inlineStr">
        <is>
          <t>แผน PM → สร้างใบงานอัตโนมัติ → เช็คลิสต์ → ปิดงาน → PM Compliance</t>
        </is>
      </c>
      <c r="C25" s="24" t="inlineStr">
        <is>
          <t>ยืนยันการทำ PM ตามแผนและการวัด Compliance</t>
        </is>
      </c>
      <c r="D25" s="24" t="inlineStr">
        <is>
          <t>แผน CONV-03 ทุก 30 วัน Lead 7 วัน เช็คลิสต์ CL-001; Cron pm_generate ทำงาน</t>
        </is>
      </c>
      <c r="E25" s="22" t="n">
        <v>6</v>
      </c>
      <c r="F25" s="21" t="inlineStr">
        <is>
          <t>ปฏิทินรวม</t>
        </is>
      </c>
      <c r="G25" s="21" t="inlineStr">
        <is>
          <t>ผู้จัดการซ่อมบำรุง (maint.mgr)</t>
        </is>
      </c>
      <c r="H25" s="21" t="inlineStr">
        <is>
          <t>ตรวจเหตุการณ์ PM ครบกำหนดรอบถัดไป</t>
        </is>
      </c>
      <c r="I25" s="21" t="inlineStr">
        <is>
          <t>แสดงในปฏิทิน</t>
        </is>
      </c>
      <c r="J25" s="22" t="inlineStr">
        <is>
          <t>UAT-CAL-005</t>
        </is>
      </c>
      <c r="K25" s="21" t="n"/>
      <c r="L25" s="22" t="inlineStr">
        <is>
          <t>ยังไม่ทดสอบ</t>
        </is>
      </c>
      <c r="M25" s="21" t="n"/>
      <c r="N25" s="23" t="n"/>
      <c r="O25" s="21" t="n"/>
    </row>
    <row r="26" ht="18.5" customHeight="1">
      <c r="A26" s="22" t="inlineStr">
        <is>
          <t>E2E-03</t>
        </is>
      </c>
      <c r="B26" s="24" t="inlineStr">
        <is>
          <t>แผน PM → สร้างใบงานอัตโนมัติ → เช็คลิสต์ → ปิดงาน → PM Compliance</t>
        </is>
      </c>
      <c r="C26" s="24" t="inlineStr">
        <is>
          <t>ยืนยันการทำ PM ตามแผนและการวัด Compliance</t>
        </is>
      </c>
      <c r="D26" s="24" t="inlineStr">
        <is>
          <t>แผน CONV-03 ทุก 30 วัน Lead 7 วัน เช็คลิสต์ CL-001; Cron pm_generate ทำงาน</t>
        </is>
      </c>
      <c r="E26" s="22" t="n">
        <v>7</v>
      </c>
      <c r="F26" s="21" t="inlineStr">
        <is>
          <t>รายงาน &amp; KPI</t>
        </is>
      </c>
      <c r="G26" s="21" t="inlineStr">
        <is>
          <t>ผู้บริหาร (exec)</t>
        </is>
      </c>
      <c r="H26" s="21" t="inlineStr">
        <is>
          <t>รายงาน PM Compliance ตามแผน</t>
        </is>
      </c>
      <c r="I26" s="21" t="inlineStr">
        <is>
          <t>แสดงผลตรงกัน</t>
        </is>
      </c>
      <c r="J26" s="22" t="inlineStr">
        <is>
          <t>UAT-RPT-002</t>
        </is>
      </c>
      <c r="K26" s="21" t="n"/>
      <c r="L26" s="22" t="inlineStr">
        <is>
          <t>ยังไม่ทดสอบ</t>
        </is>
      </c>
      <c r="M26" s="21" t="n"/>
      <c r="N26" s="23" t="n"/>
      <c r="O26" s="21" t="n"/>
    </row>
    <row r="27" ht="47.5" customHeight="1">
      <c r="A27" s="25" t="inlineStr">
        <is>
          <t>E2E-04</t>
        </is>
      </c>
      <c r="B27" s="4" t="inlineStr">
        <is>
          <t>IoT เกินเกณฑ์ → แจ้งเตือน → WO Predictive → RCA/CAPA</t>
        </is>
      </c>
      <c r="C27" s="26" t="inlineStr">
        <is>
          <t>ยืนยันการบำรุงรักษาเชิงพยากรณ์และการวิเคราะห์สาเหตุ</t>
        </is>
      </c>
      <c r="D27" s="26" t="inlineStr">
        <is>
          <t>เซนเซอร์ TMP-MTR007 ผูก MTR-007; กฎ &gt; 80°C นาน 5 นาที แจ้ง LINE + Email สร้าง WO P2; LINE/SMTP ตั้งค่าแล้ว</t>
        </is>
      </c>
      <c r="E27" s="27" t="n">
        <v>1</v>
      </c>
      <c r="F27" s="26" t="inlineStr">
        <is>
          <t>REST API</t>
        </is>
      </c>
      <c r="G27" s="26" t="inlineStr">
        <is>
          <t>ผู้ดูแลระบบ IT (it.admin)</t>
        </is>
      </c>
      <c r="H27" s="26" t="inlineStr">
        <is>
          <t>POST ค่าอุณหภูมิ 86.5°C ต่อเนื่อง 5 นาที</t>
        </is>
      </c>
      <c r="I27" s="26" t="inlineStr">
        <is>
          <t>บันทึกค่าเซนเซอร์</t>
        </is>
      </c>
      <c r="J27" s="27" t="inlineStr">
        <is>
          <t>UAT-API-005</t>
        </is>
      </c>
      <c r="K27" s="26" t="n"/>
      <c r="L27" s="27" t="inlineStr">
        <is>
          <t>ยังไม่ทดสอบ</t>
        </is>
      </c>
      <c r="M27" s="26" t="n"/>
      <c r="N27" s="28" t="n"/>
      <c r="O27" s="26" t="n"/>
    </row>
    <row r="28" ht="18.5" customHeight="1">
      <c r="A28" s="27" t="inlineStr">
        <is>
          <t>E2E-04</t>
        </is>
      </c>
      <c r="B28" s="29" t="inlineStr">
        <is>
          <t>IoT เกินเกณฑ์ → แจ้งเตือน → WO Predictive → RCA/CAPA</t>
        </is>
      </c>
      <c r="C28" s="29" t="inlineStr">
        <is>
          <t>ยืนยันการบำรุงรักษาเชิงพยากรณ์และการวิเคราะห์สาเหตุ</t>
        </is>
      </c>
      <c r="D28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28" s="27" t="n">
        <v>2</v>
      </c>
      <c r="F28" s="26" t="inlineStr">
        <is>
          <t>Predictive / IoT</t>
        </is>
      </c>
      <c r="G28" s="26" t="inlineStr">
        <is>
          <t>ผู้จัดการซ่อมบำรุง (maint.mgr)</t>
        </is>
      </c>
      <c r="H28" s="26" t="inlineStr">
        <is>
          <t>ตรวจการ์ด/การแจ้งเตือนล่าสุด</t>
        </is>
      </c>
      <c r="I28" s="26" t="inlineStr">
        <is>
          <t>การ์ดสถานะ เกินเกณฑ์; ตารางแจ้งเตือนมีรายการ</t>
        </is>
      </c>
      <c r="J28" s="27" t="inlineStr">
        <is>
          <t>UAT-IOT-001</t>
        </is>
      </c>
      <c r="K28" s="26" t="n"/>
      <c r="L28" s="27" t="inlineStr">
        <is>
          <t>ยังไม่ทดสอบ</t>
        </is>
      </c>
      <c r="M28" s="26" t="n"/>
      <c r="N28" s="28" t="n"/>
      <c r="O28" s="26" t="n"/>
    </row>
    <row r="29" ht="18.5" customHeight="1">
      <c r="A29" s="27" t="inlineStr">
        <is>
          <t>E2E-04</t>
        </is>
      </c>
      <c r="B29" s="29" t="inlineStr">
        <is>
          <t>IoT เกินเกณฑ์ → แจ้งเตือน → WO Predictive → RCA/CAPA</t>
        </is>
      </c>
      <c r="C29" s="29" t="inlineStr">
        <is>
          <t>ยืนยันการบำรุงรักษาเชิงพยากรณ์และการวิเคราะห์สาเหตุ</t>
        </is>
      </c>
      <c r="D29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29" s="27" t="n">
        <v>3</v>
      </c>
      <c r="F29" s="26" t="inlineStr">
        <is>
          <t>การแจ้งเตือน</t>
        </is>
      </c>
      <c r="G29" s="26" t="inlineStr">
        <is>
          <t>ผู้จัดการซ่อมบำรุง (maint.mgr)</t>
        </is>
      </c>
      <c r="H29" s="26" t="inlineStr">
        <is>
          <t>ตรวจ LINE/Email/กระดิ่ง</t>
        </is>
      </c>
      <c r="I29" s="26" t="inlineStr">
        <is>
          <t>ได้รับข้อความแจ้งเตือน</t>
        </is>
      </c>
      <c r="J29" s="27" t="inlineStr">
        <is>
          <t>UAT-SET-013</t>
        </is>
      </c>
      <c r="K29" s="26" t="n"/>
      <c r="L29" s="27" t="inlineStr">
        <is>
          <t>ยังไม่ทดสอบ</t>
        </is>
      </c>
      <c r="M29" s="26" t="n"/>
      <c r="N29" s="28" t="n"/>
      <c r="O29" s="26" t="n"/>
    </row>
    <row r="30" ht="18.5" customHeight="1">
      <c r="A30" s="27" t="inlineStr">
        <is>
          <t>E2E-04</t>
        </is>
      </c>
      <c r="B30" s="29" t="inlineStr">
        <is>
          <t>IoT เกินเกณฑ์ → แจ้งเตือน → WO Predictive → RCA/CAPA</t>
        </is>
      </c>
      <c r="C30" s="29" t="inlineStr">
        <is>
          <t>ยืนยันการบำรุงรักษาเชิงพยากรณ์และการวิเคราะห์สาเหตุ</t>
        </is>
      </c>
      <c r="D30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30" s="27" t="n">
        <v>4</v>
      </c>
      <c r="F30" s="26" t="inlineStr">
        <is>
          <t>ใบสั่งงาน</t>
        </is>
      </c>
      <c r="G30" s="26" t="inlineStr">
        <is>
          <t>ผู้จัดการซ่อมบำรุง (maint.mgr)</t>
        </is>
      </c>
      <c r="H30" s="26" t="inlineStr">
        <is>
          <t>ตรวจ WO Predictive P2 ที่สร้างอัตโนมัติ</t>
        </is>
      </c>
      <c r="I30" s="26" t="inlineStr">
        <is>
          <t>มี 1 ใบ ไม่ซ้ำ</t>
        </is>
      </c>
      <c r="J30" s="27" t="inlineStr">
        <is>
          <t>UAT-IOT-006</t>
        </is>
      </c>
      <c r="K30" s="26" t="n"/>
      <c r="L30" s="27" t="inlineStr">
        <is>
          <t>ยังไม่ทดสอบ</t>
        </is>
      </c>
      <c r="M30" s="26" t="n"/>
      <c r="N30" s="28" t="n"/>
      <c r="O30" s="26" t="n"/>
    </row>
    <row r="31" ht="18.5" customHeight="1">
      <c r="A31" s="27" t="inlineStr">
        <is>
          <t>E2E-04</t>
        </is>
      </c>
      <c r="B31" s="29" t="inlineStr">
        <is>
          <t>IoT เกินเกณฑ์ → แจ้งเตือน → WO Predictive → RCA/CAPA</t>
        </is>
      </c>
      <c r="C31" s="29" t="inlineStr">
        <is>
          <t>ยืนยันการบำรุงรักษาเชิงพยากรณ์และการวิเคราะห์สาเหตุ</t>
        </is>
      </c>
      <c r="D31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31" s="27" t="n">
        <v>5</v>
      </c>
      <c r="F31" s="26" t="inlineStr">
        <is>
          <t>EAM ลำดับชั้น</t>
        </is>
      </c>
      <c r="G31" s="26" t="inlineStr">
        <is>
          <t>ผู้จัดการซ่อมบำรุง (maint.mgr)</t>
        </is>
      </c>
      <c r="H31" s="26" t="inlineStr">
        <is>
          <t>คำนวณ Health</t>
        </is>
      </c>
      <c r="I31" s="26" t="inlineStr">
        <is>
          <t>Health MTR-007 ลดลง (หัก IoT เกินเกณฑ์ 10)</t>
        </is>
      </c>
      <c r="J31" s="27" t="inlineStr">
        <is>
          <t>UAT-EAM-006</t>
        </is>
      </c>
      <c r="K31" s="26" t="n"/>
      <c r="L31" s="27" t="inlineStr">
        <is>
          <t>ยังไม่ทดสอบ</t>
        </is>
      </c>
      <c r="M31" s="26" t="n"/>
      <c r="N31" s="28" t="n"/>
      <c r="O31" s="26" t="n"/>
    </row>
    <row r="32" ht="18.5" customHeight="1">
      <c r="A32" s="27" t="inlineStr">
        <is>
          <t>E2E-04</t>
        </is>
      </c>
      <c r="B32" s="29" t="inlineStr">
        <is>
          <t>IoT เกินเกณฑ์ → แจ้งเตือน → WO Predictive → RCA/CAPA</t>
        </is>
      </c>
      <c r="C32" s="29" t="inlineStr">
        <is>
          <t>ยืนยันการบำรุงรักษาเชิงพยากรณ์และการวิเคราะห์สาเหตุ</t>
        </is>
      </c>
      <c r="D32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32" s="27" t="n">
        <v>6</v>
      </c>
      <c r="F32" s="26" t="inlineStr">
        <is>
          <t>RCA / FMEA / CAPA</t>
        </is>
      </c>
      <c r="G32" s="26" t="inlineStr">
        <is>
          <t>ผู้จัดการซ่อมบำรุง (maint.mgr)</t>
        </is>
      </c>
      <c r="H32" s="26" t="inlineStr">
        <is>
          <t>เปิดเรื่อง RCA อ้างอิง WO และวิเคราะห์ 5 Why</t>
        </is>
      </c>
      <c r="I32" s="26" t="inlineStr">
        <is>
          <t>RCA สถานะ กำลังวิเคราะห์</t>
        </is>
      </c>
      <c r="J32" s="27" t="inlineStr">
        <is>
          <t>UAT-RCA-002</t>
        </is>
      </c>
      <c r="K32" s="26" t="n"/>
      <c r="L32" s="27" t="inlineStr">
        <is>
          <t>ยังไม่ทดสอบ</t>
        </is>
      </c>
      <c r="M32" s="26" t="n"/>
      <c r="N32" s="28" t="n"/>
      <c r="O32" s="26" t="n"/>
    </row>
    <row r="33" ht="18.5" customHeight="1">
      <c r="A33" s="27" t="inlineStr">
        <is>
          <t>E2E-04</t>
        </is>
      </c>
      <c r="B33" s="29" t="inlineStr">
        <is>
          <t>IoT เกินเกณฑ์ → แจ้งเตือน → WO Predictive → RCA/CAPA</t>
        </is>
      </c>
      <c r="C33" s="29" t="inlineStr">
        <is>
          <t>ยืนยันการบำรุงรักษาเชิงพยากรณ์และการวิเคราะห์สาเหตุ</t>
        </is>
      </c>
      <c r="D33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33" s="27" t="n">
        <v>7</v>
      </c>
      <c r="F33" s="26" t="inlineStr">
        <is>
          <t>RCA / FMEA / CAPA</t>
        </is>
      </c>
      <c r="G33" s="26" t="inlineStr">
        <is>
          <t>ช่างซ่อมบำรุง (somchai)</t>
        </is>
      </c>
      <c r="H33" s="26" t="inlineStr">
        <is>
          <t>ดำเนินการ CAPA และกด สำเร็จแล้ว</t>
        </is>
      </c>
      <c r="I33" s="26" t="inlineStr">
        <is>
          <t>ส่งตรวจประสิทธิผล</t>
        </is>
      </c>
      <c r="J33" s="27" t="inlineStr">
        <is>
          <t>UAT-RCA-008</t>
        </is>
      </c>
      <c r="K33" s="26" t="n"/>
      <c r="L33" s="27" t="inlineStr">
        <is>
          <t>ยังไม่ทดสอบ</t>
        </is>
      </c>
      <c r="M33" s="26" t="n"/>
      <c r="N33" s="28" t="n"/>
      <c r="O33" s="26" t="n"/>
    </row>
    <row r="34" ht="18.5" customHeight="1">
      <c r="A34" s="27" t="inlineStr">
        <is>
          <t>E2E-04</t>
        </is>
      </c>
      <c r="B34" s="29" t="inlineStr">
        <is>
          <t>IoT เกินเกณฑ์ → แจ้งเตือน → WO Predictive → RCA/CAPA</t>
        </is>
      </c>
      <c r="C34" s="29" t="inlineStr">
        <is>
          <t>ยืนยันการบำรุงรักษาเชิงพยากรณ์และการวิเคราะห์สาเหตุ</t>
        </is>
      </c>
      <c r="D34" s="29" t="inlineStr">
        <is>
          <t>เซนเซอร์ TMP-MTR007 ผูก MTR-007; กฎ &gt; 80°C นาน 5 นาที แจ้ง LINE + Email สร้าง WO P2; LINE/SMTP ตั้งค่าแล้ว</t>
        </is>
      </c>
      <c r="E34" s="27" t="n">
        <v>8</v>
      </c>
      <c r="F34" s="26" t="inlineStr">
        <is>
          <t>RCA / FMEA / CAPA</t>
        </is>
      </c>
      <c r="G34" s="26" t="inlineStr">
        <is>
          <t>ผู้จัดการซ่อมบำรุง (maint.mgr)</t>
        </is>
      </c>
      <c r="H34" s="26" t="inlineStr">
        <is>
          <t>ตรวจประสิทธิผล ผ่าน</t>
        </is>
      </c>
      <c r="I34" s="26" t="inlineStr">
        <is>
          <t>CAPA ปิด; RCA ปิดเรื่องได้</t>
        </is>
      </c>
      <c r="J34" s="27" t="inlineStr">
        <is>
          <t>UAT-RCA-008</t>
        </is>
      </c>
      <c r="K34" s="26" t="n"/>
      <c r="L34" s="27" t="inlineStr">
        <is>
          <t>ยังไม่ทดสอบ</t>
        </is>
      </c>
      <c r="M34" s="26" t="n"/>
      <c r="N34" s="28" t="n"/>
      <c r="O34" s="26" t="n"/>
    </row>
    <row r="35" ht="47.5" customHeight="1">
      <c r="A35" s="19" t="inlineStr">
        <is>
          <t>E2E-05</t>
        </is>
      </c>
      <c r="B35" s="20" t="inlineStr">
        <is>
          <t>ตรวจนับทรัพย์สิน → สแกนออฟไลน์ → กระทบยอด → ปรับทะเบียน → ปิดรอบ</t>
        </is>
      </c>
      <c r="C35" s="21" t="inlineStr">
        <is>
          <t>ยืนยันวงจรตรวจนับและการปรับทะเบียน</t>
        </is>
      </c>
      <c r="D35" s="21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35" s="22" t="n">
        <v>1</v>
      </c>
      <c r="F35" s="21" t="inlineStr">
        <is>
          <t>ตรวจนับทรัพย์สิน</t>
        </is>
      </c>
      <c r="G35" s="21" t="inlineStr">
        <is>
          <t>ผู้จัดการทรัพย์สิน (asset.mgr)</t>
        </is>
      </c>
      <c r="H35" s="21" t="inlineStr">
        <is>
          <t>สร้างรอบ ST-2569-0003 คณะกรรมการ 3 คน</t>
        </is>
      </c>
      <c r="I35" s="21" t="inlineStr">
        <is>
          <t>ระบบดึงรายการ 12 รายการ; กรรมการได้รับแจ้งเตือน</t>
        </is>
      </c>
      <c r="J35" s="22" t="inlineStr">
        <is>
          <t>UAT-STK-003</t>
        </is>
      </c>
      <c r="K35" s="21" t="n"/>
      <c r="L35" s="22" t="inlineStr">
        <is>
          <t>ยังไม่ทดสอบ</t>
        </is>
      </c>
      <c r="M35" s="21" t="n"/>
      <c r="N35" s="23" t="n"/>
      <c r="O35" s="21" t="n"/>
    </row>
    <row r="36" ht="18.5" customHeight="1">
      <c r="A36" s="22" t="inlineStr">
        <is>
          <t>E2E-05</t>
        </is>
      </c>
      <c r="B36" s="24" t="inlineStr">
        <is>
          <t>ตรวจนับทรัพย์สิน → สแกนออฟไลน์ → กระทบยอด → ปรับทะเบียน → ปิดรอบ</t>
        </is>
      </c>
      <c r="C36" s="24" t="inlineStr">
        <is>
          <t>ยืนยันวงจรตรวจนับและการปรับทะเบียน</t>
        </is>
      </c>
      <c r="D36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36" s="22" t="n">
        <v>2</v>
      </c>
      <c r="F36" s="21" t="inlineStr">
        <is>
          <t>ตรวจนับทรัพย์สิน (มือถือ)</t>
        </is>
      </c>
      <c r="G36" s="21" t="inlineStr">
        <is>
          <t>ช่างซ่อมบำรุง (somchai)</t>
        </is>
      </c>
      <c r="H36" s="21" t="inlineStr">
        <is>
          <t>สแกนแบบออฟไลน์ 11 รายการ แล้วเชื่อมต่ออินเทอร์เน็ต</t>
        </is>
      </c>
      <c r="I36" s="21" t="inlineStr">
        <is>
          <t>ซิงก์ครบไม่ซ้ำ</t>
        </is>
      </c>
      <c r="J36" s="22" t="inlineStr">
        <is>
          <t>UAT-STK-008</t>
        </is>
      </c>
      <c r="K36" s="21" t="n"/>
      <c r="L36" s="22" t="inlineStr">
        <is>
          <t>ยังไม่ทดสอบ</t>
        </is>
      </c>
      <c r="M36" s="21" t="n"/>
      <c r="N36" s="23" t="n"/>
      <c r="O36" s="21" t="n"/>
    </row>
    <row r="37" ht="18.5" customHeight="1">
      <c r="A37" s="22" t="inlineStr">
        <is>
          <t>E2E-05</t>
        </is>
      </c>
      <c r="B37" s="24" t="inlineStr">
        <is>
          <t>ตรวจนับทรัพย์สิน → สแกนออฟไลน์ → กระทบยอด → ปรับทะเบียน → ปิดรอบ</t>
        </is>
      </c>
      <c r="C37" s="24" t="inlineStr">
        <is>
          <t>ยืนยันวงจรตรวจนับและการปรับทะเบียน</t>
        </is>
      </c>
      <c r="D37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37" s="22" t="n">
        <v>3</v>
      </c>
      <c r="F37" s="21" t="inlineStr">
        <is>
          <t>ตรวจนับทรัพย์สิน</t>
        </is>
      </c>
      <c r="G37" s="21" t="inlineStr">
        <is>
          <t>ผู้จัดการทรัพย์สิน (asset.mgr)</t>
        </is>
      </c>
      <c r="H37" s="21" t="inlineStr">
        <is>
          <t>ส่งกระทบยอด</t>
        </is>
      </c>
      <c r="I37" s="21" t="inlineStr">
        <is>
          <t>ผล: พบ 10, ผิดที่ 1, ไม่พบ 1, เกินทะเบียน 1</t>
        </is>
      </c>
      <c r="J37" s="22" t="inlineStr">
        <is>
          <t>UAT-STK-010</t>
        </is>
      </c>
      <c r="K37" s="21" t="n"/>
      <c r="L37" s="22" t="inlineStr">
        <is>
          <t>ยังไม่ทดสอบ</t>
        </is>
      </c>
      <c r="M37" s="21" t="n"/>
      <c r="N37" s="23" t="n"/>
      <c r="O37" s="21" t="n"/>
    </row>
    <row r="38" ht="18.5" customHeight="1">
      <c r="A38" s="22" t="inlineStr">
        <is>
          <t>E2E-05</t>
        </is>
      </c>
      <c r="B38" s="24" t="inlineStr">
        <is>
          <t>ตรวจนับทรัพย์สิน → สแกนออฟไลน์ → กระทบยอด → ปรับทะเบียน → ปิดรอบ</t>
        </is>
      </c>
      <c r="C38" s="24" t="inlineStr">
        <is>
          <t>ยืนยันวงจรตรวจนับและการปรับทะเบียน</t>
        </is>
      </c>
      <c r="D38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38" s="22" t="n">
        <v>4</v>
      </c>
      <c r="F38" s="21" t="inlineStr">
        <is>
          <t>ตรวจนับทรัพย์สิน</t>
        </is>
      </c>
      <c r="G38" s="21" t="inlineStr">
        <is>
          <t>ผู้จัดการทรัพย์สิน (asset.mgr)</t>
        </is>
      </c>
      <c r="H38" s="21" t="inlineStr">
        <is>
          <t>ปรับที่ตั้ง / แจ้งสูญหาย / ขึ้นทะเบียนใหม่</t>
        </is>
      </c>
      <c r="I38" s="21" t="inlineStr">
        <is>
          <t>ทุกรายการ ดำเนินการแล้ว</t>
        </is>
      </c>
      <c r="J38" s="22" t="inlineStr">
        <is>
          <t>UAT-STK-011</t>
        </is>
      </c>
      <c r="K38" s="21" t="n"/>
      <c r="L38" s="22" t="inlineStr">
        <is>
          <t>ยังไม่ทดสอบ</t>
        </is>
      </c>
      <c r="M38" s="21" t="n"/>
      <c r="N38" s="23" t="n"/>
      <c r="O38" s="21" t="n"/>
    </row>
    <row r="39" ht="18.5" customHeight="1">
      <c r="A39" s="22" t="inlineStr">
        <is>
          <t>E2E-05</t>
        </is>
      </c>
      <c r="B39" s="24" t="inlineStr">
        <is>
          <t>ตรวจนับทรัพย์สิน → สแกนออฟไลน์ → กระทบยอด → ปรับทะเบียน → ปิดรอบ</t>
        </is>
      </c>
      <c r="C39" s="24" t="inlineStr">
        <is>
          <t>ยืนยันวงจรตรวจนับและการปรับทะเบียน</t>
        </is>
      </c>
      <c r="D39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39" s="22" t="n">
        <v>5</v>
      </c>
      <c r="F39" s="21" t="inlineStr">
        <is>
          <t>ตรวจนับทรัพย์สิน</t>
        </is>
      </c>
      <c r="G39" s="21" t="inlineStr">
        <is>
          <t>ผู้จัดการทรัพย์สิน (asset.mgr)</t>
        </is>
      </c>
      <c r="H39" s="21" t="inlineStr">
        <is>
          <t>ปิดรอบ</t>
        </is>
      </c>
      <c r="I39" s="21" t="inlineStr">
        <is>
          <t>สถานะ ปิดรอบแล้ว</t>
        </is>
      </c>
      <c r="J39" s="22" t="inlineStr">
        <is>
          <t>UAT-STK-012</t>
        </is>
      </c>
      <c r="K39" s="21" t="n"/>
      <c r="L39" s="22" t="inlineStr">
        <is>
          <t>ยังไม่ทดสอบ</t>
        </is>
      </c>
      <c r="M39" s="21" t="n"/>
      <c r="N39" s="23" t="n"/>
      <c r="O39" s="21" t="n"/>
    </row>
    <row r="40" ht="18.5" customHeight="1">
      <c r="A40" s="22" t="inlineStr">
        <is>
          <t>E2E-05</t>
        </is>
      </c>
      <c r="B40" s="24" t="inlineStr">
        <is>
          <t>ตรวจนับทรัพย์สิน → สแกนออฟไลน์ → กระทบยอด → ปรับทะเบียน → ปิดรอบ</t>
        </is>
      </c>
      <c r="C40" s="24" t="inlineStr">
        <is>
          <t>ยืนยันวงจรตรวจนับและการปรับทะเบียน</t>
        </is>
      </c>
      <c r="D40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40" s="22" t="n">
        <v>6</v>
      </c>
      <c r="F40" s="21" t="inlineStr">
        <is>
          <t>ทะเบียนทรัพย์สินกลาง</t>
        </is>
      </c>
      <c r="G40" s="21" t="inlineStr">
        <is>
          <t>ผู้จัดการทรัพย์สิน (asset.mgr)</t>
        </is>
      </c>
      <c r="H40" s="21" t="inlineStr">
        <is>
          <t>ตรวจทรัพย์สินที่ถูกปรับ</t>
        </is>
      </c>
      <c r="I40" s="21" t="inlineStr">
        <is>
          <t>ที่ตั้งใหม่ / สถานะ สูญหาย / ทรัพย์สินใหม่ ถูกต้อง</t>
        </is>
      </c>
      <c r="J40" s="22" t="inlineStr">
        <is>
          <t>UAT-AST-001</t>
        </is>
      </c>
      <c r="K40" s="21" t="n"/>
      <c r="L40" s="22" t="inlineStr">
        <is>
          <t>ยังไม่ทดสอบ</t>
        </is>
      </c>
      <c r="M40" s="21" t="n"/>
      <c r="N40" s="23" t="n"/>
      <c r="O40" s="21" t="n"/>
    </row>
    <row r="41" ht="18.5" customHeight="1">
      <c r="A41" s="22" t="inlineStr">
        <is>
          <t>E2E-05</t>
        </is>
      </c>
      <c r="B41" s="24" t="inlineStr">
        <is>
          <t>ตรวจนับทรัพย์สิน → สแกนออฟไลน์ → กระทบยอด → ปรับทะเบียน → ปิดรอบ</t>
        </is>
      </c>
      <c r="C41" s="24" t="inlineStr">
        <is>
          <t>ยืนยันวงจรตรวจนับและการปรับทะเบียน</t>
        </is>
      </c>
      <c r="D41" s="24" t="inlineStr">
        <is>
          <t>ทรัพย์สินอาคารสำนักงาน 12 รายการ; มี 1 รายการวางผิดที่และ 1 รายการหาไม่พบ; มีทรัพย์สินเกินทะเบียน 1 รายการ</t>
        </is>
      </c>
      <c r="E41" s="22" t="n">
        <v>7</v>
      </c>
      <c r="F41" s="21" t="inlineStr">
        <is>
          <t>รายงาน &amp; KPI</t>
        </is>
      </c>
      <c r="G41" s="21" t="inlineStr">
        <is>
          <t>ผู้ตรวจสอบ (auditor)</t>
        </is>
      </c>
      <c r="H41" s="21" t="inlineStr">
        <is>
          <t>รายงาน ผลการตรวจนับทรัพย์สิน</t>
        </is>
      </c>
      <c r="I41" s="21" t="inlineStr">
        <is>
          <t>ความครบถ้วน % ตรงกับรอบ</t>
        </is>
      </c>
      <c r="J41" s="22" t="inlineStr">
        <is>
          <t>UAT-RPT-002</t>
        </is>
      </c>
      <c r="K41" s="21" t="n"/>
      <c r="L41" s="22" t="inlineStr">
        <is>
          <t>ยังไม่ทดสอบ</t>
        </is>
      </c>
      <c r="M41" s="21" t="n"/>
      <c r="N41" s="23" t="n"/>
      <c r="O41" s="21" t="n"/>
    </row>
    <row r="42" ht="33" customHeight="1">
      <c r="A42" s="25" t="inlineStr">
        <is>
          <t>E2E-06</t>
        </is>
      </c>
      <c r="B42" s="4" t="inlineStr">
        <is>
          <t>โอนย้ายข้ามไซต์ 2 ชั้นอนุมัติ → ขนย้าย → รับของ → ติดตามตำแหน่ง</t>
        </is>
      </c>
      <c r="C42" s="26" t="inlineStr">
        <is>
          <t>ยืนยันการแบ่งแยกหน้าที่และการอัปเดตตำแหน่ง</t>
        </is>
      </c>
      <c r="D42" s="26" t="inlineStr">
        <is>
          <t>PC HP ProDesk 400 อยู่โรงงานสมุทรสาคร; ผู้อนุมัติต้นทาง/ปลายทางคนละคน</t>
        </is>
      </c>
      <c r="E42" s="27" t="n">
        <v>1</v>
      </c>
      <c r="F42" s="26" t="inlineStr">
        <is>
          <t>โอนย้าย</t>
        </is>
      </c>
      <c r="G42" s="26" t="inlineStr">
        <is>
          <t>ผู้จัดการทรัพย์สิน (asset.mgr)</t>
        </is>
      </c>
      <c r="H42" s="26" t="inlineStr">
        <is>
          <t>ขอโอนย้ายไปโรงงานระยอง</t>
        </is>
      </c>
      <c r="I42" s="26" t="inlineStr">
        <is>
          <t>สถานะ รออนุมัติต้นทาง; ข้ามไซต์ · 2 ชั้น</t>
        </is>
      </c>
      <c r="J42" s="27" t="inlineStr">
        <is>
          <t>UAT-MOV-003</t>
        </is>
      </c>
      <c r="K42" s="26" t="n"/>
      <c r="L42" s="27" t="inlineStr">
        <is>
          <t>ยังไม่ทดสอบ</t>
        </is>
      </c>
      <c r="M42" s="26" t="n"/>
      <c r="N42" s="28" t="n"/>
      <c r="O42" s="26" t="n"/>
    </row>
    <row r="43" ht="18.5" customHeight="1">
      <c r="A43" s="27" t="inlineStr">
        <is>
          <t>E2E-06</t>
        </is>
      </c>
      <c r="B43" s="29" t="inlineStr">
        <is>
          <t>โอนย้ายข้ามไซต์ 2 ชั้นอนุมัติ → ขนย้าย → รับของ → ติดตามตำแหน่ง</t>
        </is>
      </c>
      <c r="C43" s="29" t="inlineStr">
        <is>
          <t>ยืนยันการแบ่งแยกหน้าที่และการอัปเดตตำแหน่ง</t>
        </is>
      </c>
      <c r="D43" s="29" t="inlineStr">
        <is>
          <t>PC HP ProDesk 400 อยู่โรงงานสมุทรสาคร; ผู้อนุมัติต้นทาง/ปลายทางคนละคน</t>
        </is>
      </c>
      <c r="E43" s="27" t="n">
        <v>2</v>
      </c>
      <c r="F43" s="26" t="inlineStr">
        <is>
          <t>โอนย้าย</t>
        </is>
      </c>
      <c r="G43" s="26" t="inlineStr">
        <is>
          <t>ผู้จัดการทรัพย์สิน (asset.mgr)</t>
        </is>
      </c>
      <c r="H43" s="26" t="inlineStr">
        <is>
          <t>ผู้ขอพยายามอนุมัติเอง</t>
        </is>
      </c>
      <c r="I43" s="26" t="inlineStr">
        <is>
          <t>ถูกปฏิเสธ (แบ่งแยกหน้าที่)</t>
        </is>
      </c>
      <c r="J43" s="27" t="inlineStr">
        <is>
          <t>UAT-MOV-004</t>
        </is>
      </c>
      <c r="K43" s="26" t="n"/>
      <c r="L43" s="27" t="inlineStr">
        <is>
          <t>ยังไม่ทดสอบ</t>
        </is>
      </c>
      <c r="M43" s="26" t="n"/>
      <c r="N43" s="28" t="n"/>
      <c r="O43" s="26" t="n"/>
    </row>
    <row r="44" ht="18.5" customHeight="1">
      <c r="A44" s="27" t="inlineStr">
        <is>
          <t>E2E-06</t>
        </is>
      </c>
      <c r="B44" s="29" t="inlineStr">
        <is>
          <t>โอนย้ายข้ามไซต์ 2 ชั้นอนุมัติ → ขนย้าย → รับของ → ติดตามตำแหน่ง</t>
        </is>
      </c>
      <c r="C44" s="29" t="inlineStr">
        <is>
          <t>ยืนยันการแบ่งแยกหน้าที่และการอัปเดตตำแหน่ง</t>
        </is>
      </c>
      <c r="D44" s="29" t="inlineStr">
        <is>
          <t>PC HP ProDesk 400 อยู่โรงงานสมุทรสาคร; ผู้อนุมัติต้นทาง/ปลายทางคนละคน</t>
        </is>
      </c>
      <c r="E44" s="27" t="n">
        <v>3</v>
      </c>
      <c r="F44" s="26" t="inlineStr">
        <is>
          <t>โอนย้าย</t>
        </is>
      </c>
      <c r="G44" s="26" t="inlineStr">
        <is>
          <t>ผู้จัดการซ่อมบำรุง (maint.mgr)</t>
        </is>
      </c>
      <c r="H44" s="26" t="inlineStr">
        <is>
          <t>หัวหน้าต้นทาง/ปลายทางอนุมัติ</t>
        </is>
      </c>
      <c r="I44" s="26" t="inlineStr">
        <is>
          <t>อนุมัติครบ</t>
        </is>
      </c>
      <c r="J44" s="27" t="inlineStr">
        <is>
          <t>UAT-MOV-003</t>
        </is>
      </c>
      <c r="K44" s="26" t="n"/>
      <c r="L44" s="27" t="inlineStr">
        <is>
          <t>ยังไม่ทดสอบ</t>
        </is>
      </c>
      <c r="M44" s="26" t="n"/>
      <c r="N44" s="28" t="n"/>
      <c r="O44" s="26" t="n"/>
    </row>
    <row r="45" ht="18.5" customHeight="1">
      <c r="A45" s="27" t="inlineStr">
        <is>
          <t>E2E-06</t>
        </is>
      </c>
      <c r="B45" s="29" t="inlineStr">
        <is>
          <t>โอนย้ายข้ามไซต์ 2 ชั้นอนุมัติ → ขนย้าย → รับของ → ติดตามตำแหน่ง</t>
        </is>
      </c>
      <c r="C45" s="29" t="inlineStr">
        <is>
          <t>ยืนยันการแบ่งแยกหน้าที่และการอัปเดตตำแหน่ง</t>
        </is>
      </c>
      <c r="D45" s="29" t="inlineStr">
        <is>
          <t>PC HP ProDesk 400 อยู่โรงงานสมุทรสาคร; ผู้อนุมัติต้นทาง/ปลายทางคนละคน</t>
        </is>
      </c>
      <c r="E45" s="27" t="n">
        <v>4</v>
      </c>
      <c r="F45" s="26" t="inlineStr">
        <is>
          <t>โอนย้าย</t>
        </is>
      </c>
      <c r="G45" s="26" t="inlineStr">
        <is>
          <t>ผู้จัดการทรัพย์สิน (asset.mgr)</t>
        </is>
      </c>
      <c r="H45" s="26" t="inlineStr">
        <is>
          <t>ปล่อยขนย้าย และปลายทางยืนยันรับของ</t>
        </is>
      </c>
      <c r="I45" s="26" t="inlineStr">
        <is>
          <t>สถานะ รับของแล้ว</t>
        </is>
      </c>
      <c r="J45" s="27" t="inlineStr">
        <is>
          <t>UAT-MOV-003</t>
        </is>
      </c>
      <c r="K45" s="26" t="n"/>
      <c r="L45" s="27" t="inlineStr">
        <is>
          <t>ยังไม่ทดสอบ</t>
        </is>
      </c>
      <c r="M45" s="26" t="n"/>
      <c r="N45" s="28" t="n"/>
      <c r="O45" s="26" t="n"/>
    </row>
    <row r="46" ht="18.5" customHeight="1">
      <c r="A46" s="27" t="inlineStr">
        <is>
          <t>E2E-06</t>
        </is>
      </c>
      <c r="B46" s="29" t="inlineStr">
        <is>
          <t>โอนย้ายข้ามไซต์ 2 ชั้นอนุมัติ → ขนย้าย → รับของ → ติดตามตำแหน่ง</t>
        </is>
      </c>
      <c r="C46" s="29" t="inlineStr">
        <is>
          <t>ยืนยันการแบ่งแยกหน้าที่และการอัปเดตตำแหน่ง</t>
        </is>
      </c>
      <c r="D46" s="29" t="inlineStr">
        <is>
          <t>PC HP ProDesk 400 อยู่โรงงานสมุทรสาคร; ผู้อนุมัติต้นทาง/ปลายทางคนละคน</t>
        </is>
      </c>
      <c r="E46" s="27" t="n">
        <v>5</v>
      </c>
      <c r="F46" s="26" t="inlineStr">
        <is>
          <t>ทะเบียนทรัพย์สินกลาง</t>
        </is>
      </c>
      <c r="G46" s="26" t="inlineStr">
        <is>
          <t>ผู้จัดการทรัพย์สิน (asset.mgr)</t>
        </is>
      </c>
      <c r="H46" s="26" t="inlineStr">
        <is>
          <t>ตรวจไซต์/ที่ตั้ง/ผู้รับผิดชอบ</t>
        </is>
      </c>
      <c r="I46" s="26" t="inlineStr">
        <is>
          <t>เป็นโรงงานระยอง</t>
        </is>
      </c>
      <c r="J46" s="27" t="inlineStr">
        <is>
          <t>UAT-AST-015</t>
        </is>
      </c>
      <c r="K46" s="26" t="n"/>
      <c r="L46" s="27" t="inlineStr">
        <is>
          <t>ยังไม่ทดสอบ</t>
        </is>
      </c>
      <c r="M46" s="26" t="n"/>
      <c r="N46" s="28" t="n"/>
      <c r="O46" s="26" t="n"/>
    </row>
    <row r="47" ht="18.5" customHeight="1">
      <c r="A47" s="27" t="inlineStr">
        <is>
          <t>E2E-06</t>
        </is>
      </c>
      <c r="B47" s="29" t="inlineStr">
        <is>
          <t>โอนย้ายข้ามไซต์ 2 ชั้นอนุมัติ → ขนย้าย → รับของ → ติดตามตำแหน่ง</t>
        </is>
      </c>
      <c r="C47" s="29" t="inlineStr">
        <is>
          <t>ยืนยันการแบ่งแยกหน้าที่และการอัปเดตตำแหน่ง</t>
        </is>
      </c>
      <c r="D47" s="29" t="inlineStr">
        <is>
          <t>PC HP ProDesk 400 อยู่โรงงานสมุทรสาคร; ผู้อนุมัติต้นทาง/ปลายทางคนละคน</t>
        </is>
      </c>
      <c r="E47" s="27" t="n">
        <v>6</v>
      </c>
      <c r="F47" s="26" t="inlineStr">
        <is>
          <t>ติดตามตำแหน่ง</t>
        </is>
      </c>
      <c r="G47" s="26" t="inlineStr">
        <is>
          <t>ช่างซ่อมบำรุง (somchai)</t>
        </is>
      </c>
      <c r="H47" s="26" t="inlineStr">
        <is>
          <t>สแกนตำแหน่งที่ระยอง</t>
        </is>
      </c>
      <c r="I47" s="26" t="inlineStr">
        <is>
          <t>ตำแหน่งตรงทะเบียน ไม่ขึ้นผิดที่</t>
        </is>
      </c>
      <c r="J47" s="27" t="inlineStr">
        <is>
          <t>UAT-TRK-005</t>
        </is>
      </c>
      <c r="K47" s="26" t="n"/>
      <c r="L47" s="27" t="inlineStr">
        <is>
          <t>ยังไม่ทดสอบ</t>
        </is>
      </c>
      <c r="M47" s="26" t="n"/>
      <c r="N47" s="28" t="n"/>
      <c r="O47" s="26" t="n"/>
    </row>
    <row r="48" ht="33" customHeight="1">
      <c r="A48" s="19" t="inlineStr">
        <is>
          <t>E2E-07</t>
        </is>
      </c>
      <c r="B48" s="20" t="inlineStr">
        <is>
          <t>ขอจำหน่ายทรัพย์สิน → อนุมัติ → ลงบัญชีกำไร/ขาดทุน → หยุดคิดค่าเสื่อม</t>
        </is>
      </c>
      <c r="C48" s="21" t="inlineStr">
        <is>
          <t>ยืนยันการจำหน่ายและผลทางบัญชี</t>
        </is>
      </c>
      <c r="D48" s="21" t="inlineStr">
        <is>
          <t>เซิร์ฟเวอร์ Dell R430 NBV 8,000; GL กำไร 4910 / ขาดทุน 5910</t>
        </is>
      </c>
      <c r="E48" s="22" t="n">
        <v>1</v>
      </c>
      <c r="F48" s="21" t="inlineStr">
        <is>
          <t>จำหน่าย</t>
        </is>
      </c>
      <c r="G48" s="21" t="inlineStr">
        <is>
          <t>ผู้จัดการทรัพย์สิน (asset.mgr)</t>
        </is>
      </c>
      <c r="H48" s="21" t="inlineStr">
        <is>
          <t>ขอจำหน่ายวิธีขาย ราคา 12,000</t>
        </is>
      </c>
      <c r="I48" s="21" t="inlineStr">
        <is>
          <t>สถานะ รออนุมัติ</t>
        </is>
      </c>
      <c r="J48" s="22" t="inlineStr">
        <is>
          <t>UAT-MOV-011</t>
        </is>
      </c>
      <c r="K48" s="21" t="n"/>
      <c r="L48" s="22" t="inlineStr">
        <is>
          <t>ยังไม่ทดสอบ</t>
        </is>
      </c>
      <c r="M48" s="21" t="n"/>
      <c r="N48" s="23" t="n"/>
      <c r="O48" s="21" t="n"/>
    </row>
    <row r="49" ht="18.5" customHeight="1">
      <c r="A49" s="22" t="inlineStr">
        <is>
          <t>E2E-07</t>
        </is>
      </c>
      <c r="B49" s="24" t="inlineStr">
        <is>
          <t>ขอจำหน่ายทรัพย์สิน → อนุมัติ → ลงบัญชีกำไร/ขาดทุน → หยุดคิดค่าเสื่อม</t>
        </is>
      </c>
      <c r="C49" s="24" t="inlineStr">
        <is>
          <t>ยืนยันการจำหน่ายและผลทางบัญชี</t>
        </is>
      </c>
      <c r="D49" s="24" t="inlineStr">
        <is>
          <t>เซิร์ฟเวอร์ Dell R430 NBV 8,000; GL กำไร 4910 / ขาดทุน 5910</t>
        </is>
      </c>
      <c r="E49" s="22" t="n">
        <v>2</v>
      </c>
      <c r="F49" s="21" t="inlineStr">
        <is>
          <t>จำหน่าย</t>
        </is>
      </c>
      <c r="G49" s="21" t="inlineStr">
        <is>
          <t>บัญชีสินทรัพย์ (account)</t>
        </is>
      </c>
      <c r="H49" s="21" t="inlineStr">
        <is>
          <t>อนุมัติ</t>
        </is>
      </c>
      <c r="I49" s="21" t="inlineStr">
        <is>
          <t>จำหน่ายแล้ว; ลงบัญชีกำไร 4,000.00</t>
        </is>
      </c>
      <c r="J49" s="22" t="inlineStr">
        <is>
          <t>UAT-MOV-011</t>
        </is>
      </c>
      <c r="K49" s="21" t="n"/>
      <c r="L49" s="22" t="inlineStr">
        <is>
          <t>ยังไม่ทดสอบ</t>
        </is>
      </c>
      <c r="M49" s="21" t="n"/>
      <c r="N49" s="23" t="n"/>
      <c r="O49" s="21" t="n"/>
    </row>
    <row r="50" ht="18.5" customHeight="1">
      <c r="A50" s="22" t="inlineStr">
        <is>
          <t>E2E-07</t>
        </is>
      </c>
      <c r="B50" s="24" t="inlineStr">
        <is>
          <t>ขอจำหน่ายทรัพย์สิน → อนุมัติ → ลงบัญชีกำไร/ขาดทุน → หยุดคิดค่าเสื่อม</t>
        </is>
      </c>
      <c r="C50" s="24" t="inlineStr">
        <is>
          <t>ยืนยันการจำหน่ายและผลทางบัญชี</t>
        </is>
      </c>
      <c r="D50" s="24" t="inlineStr">
        <is>
          <t>เซิร์ฟเวอร์ Dell R430 NBV 8,000; GL กำไร 4910 / ขาดทุน 5910</t>
        </is>
      </c>
      <c r="E50" s="22" t="n">
        <v>3</v>
      </c>
      <c r="F50" s="21" t="inlineStr">
        <is>
          <t>สินทรัพย์ถาวร &amp; ค่าเสื่อม</t>
        </is>
      </c>
      <c r="G50" s="21" t="inlineStr">
        <is>
          <t>บัญชีสินทรัพย์ (account)</t>
        </is>
      </c>
      <c r="H50" s="21" t="inlineStr">
        <is>
          <t>ตรวจสมุดรายวัน</t>
        </is>
      </c>
      <c r="I50" s="21" t="inlineStr">
        <is>
          <t>JV เดบิตเงินสด 1120 / เครดิตกำไร 4910 ถูกต้อง</t>
        </is>
      </c>
      <c r="J50" s="22" t="inlineStr">
        <is>
          <t>UAT-FA-008</t>
        </is>
      </c>
      <c r="K50" s="21" t="n"/>
      <c r="L50" s="22" t="inlineStr">
        <is>
          <t>ยังไม่ทดสอบ</t>
        </is>
      </c>
      <c r="M50" s="21" t="n"/>
      <c r="N50" s="23" t="n"/>
      <c r="O50" s="21" t="n"/>
    </row>
    <row r="51" ht="18.5" customHeight="1">
      <c r="A51" s="22" t="inlineStr">
        <is>
          <t>E2E-07</t>
        </is>
      </c>
      <c r="B51" s="24" t="inlineStr">
        <is>
          <t>ขอจำหน่ายทรัพย์สิน → อนุมัติ → ลงบัญชีกำไร/ขาดทุน → หยุดคิดค่าเสื่อม</t>
        </is>
      </c>
      <c r="C51" s="24" t="inlineStr">
        <is>
          <t>ยืนยันการจำหน่ายและผลทางบัญชี</t>
        </is>
      </c>
      <c r="D51" s="24" t="inlineStr">
        <is>
          <t>เซิร์ฟเวอร์ Dell R430 NBV 8,000; GL กำไร 4910 / ขาดทุน 5910</t>
        </is>
      </c>
      <c r="E51" s="22" t="n">
        <v>4</v>
      </c>
      <c r="F51" s="21" t="inlineStr">
        <is>
          <t>สินทรัพย์ถาวร &amp; ค่าเสื่อม</t>
        </is>
      </c>
      <c r="G51" s="21" t="inlineStr">
        <is>
          <t>บัญชีสินทรัพย์ (account)</t>
        </is>
      </c>
      <c r="H51" s="21" t="inlineStr">
        <is>
          <t>ปิดงวดถัดไป</t>
        </is>
      </c>
      <c r="I51" s="21" t="inlineStr">
        <is>
          <t>ไม่คิดค่าเสื่อมทรัพย์สินที่จำหน่าย</t>
        </is>
      </c>
      <c r="J51" s="22" t="inlineStr">
        <is>
          <t>UAT-FA-012</t>
        </is>
      </c>
      <c r="K51" s="21" t="n"/>
      <c r="L51" s="22" t="inlineStr">
        <is>
          <t>ยังไม่ทดสอบ</t>
        </is>
      </c>
      <c r="M51" s="21" t="n"/>
      <c r="N51" s="23" t="n"/>
      <c r="O51" s="21" t="n"/>
    </row>
    <row r="52" ht="18.5" customHeight="1">
      <c r="A52" s="22" t="inlineStr">
        <is>
          <t>E2E-07</t>
        </is>
      </c>
      <c r="B52" s="24" t="inlineStr">
        <is>
          <t>ขอจำหน่ายทรัพย์สิน → อนุมัติ → ลงบัญชีกำไร/ขาดทุน → หยุดคิดค่าเสื่อม</t>
        </is>
      </c>
      <c r="C52" s="24" t="inlineStr">
        <is>
          <t>ยืนยันการจำหน่ายและผลทางบัญชี</t>
        </is>
      </c>
      <c r="D52" s="24" t="inlineStr">
        <is>
          <t>เซิร์ฟเวอร์ Dell R430 NBV 8,000; GL กำไร 4910 / ขาดทุน 5910</t>
        </is>
      </c>
      <c r="E52" s="22" t="n">
        <v>5</v>
      </c>
      <c r="F52" s="21" t="inlineStr">
        <is>
          <t>ทะเบียนทรัพย์สินกลาง</t>
        </is>
      </c>
      <c r="G52" s="21" t="inlineStr">
        <is>
          <t>ผู้จัดการทรัพย์สิน (asset.mgr)</t>
        </is>
      </c>
      <c r="H52" s="21" t="inlineStr">
        <is>
          <t>ตรวจสถานะ</t>
        </is>
      </c>
      <c r="I52" s="21" t="inlineStr">
        <is>
          <t>จำหน่ายแล้ว และไม่ถูกดึงเข้ารอบตรวจนับ</t>
        </is>
      </c>
      <c r="J52" s="22" t="inlineStr">
        <is>
          <t>UAT-STK-003</t>
        </is>
      </c>
      <c r="K52" s="21" t="n"/>
      <c r="L52" s="22" t="inlineStr">
        <is>
          <t>ยังไม่ทดสอบ</t>
        </is>
      </c>
      <c r="M52" s="21" t="n"/>
      <c r="N52" s="23" t="n"/>
      <c r="O52" s="21" t="n"/>
    </row>
    <row r="53" ht="33" customHeight="1">
      <c r="A53" s="25" t="inlineStr">
        <is>
          <t>E2E-08</t>
        </is>
      </c>
      <c r="B53" s="4" t="inlineStr">
        <is>
          <t>สอบเทียบไม่ผ่าน → ระงับในเช็คลิสต์ → WO สอบเทียบ → ผ่าน</t>
        </is>
      </c>
      <c r="C53" s="26" t="inlineStr">
        <is>
          <t>ยืนยันการควบคุมเครื่องมือวัดตาม ISO 9001 7.1.5</t>
        </is>
      </c>
      <c r="D53" s="26" t="inlineStr">
        <is>
          <t>GAU-011 ลงทะเบียนสอบเทียบ; แผน PM ที่ใช้ GAU-011 ในเช็คลิสต์</t>
        </is>
      </c>
      <c r="E53" s="27" t="n">
        <v>1</v>
      </c>
      <c r="F53" s="26" t="inlineStr">
        <is>
          <t>สอบเทียบ</t>
        </is>
      </c>
      <c r="G53" s="26" t="inlineStr">
        <is>
          <t>ผู้จัดการซ่อมบำรุง (maint.mgr)</t>
        </is>
      </c>
      <c r="H53" s="26" t="inlineStr">
        <is>
          <t>บันทึกผล ไม่ผ่าน</t>
        </is>
      </c>
      <c r="I53" s="26" t="inlineStr">
        <is>
          <t>สถานะ ไม่ผ่าน; ระงับการบันทึกค่าในเช็คลิสต์</t>
        </is>
      </c>
      <c r="J53" s="27" t="inlineStr">
        <is>
          <t>UAT-CLB-008</t>
        </is>
      </c>
      <c r="K53" s="26" t="n"/>
      <c r="L53" s="27" t="inlineStr">
        <is>
          <t>ยังไม่ทดสอบ</t>
        </is>
      </c>
      <c r="M53" s="26" t="n"/>
      <c r="N53" s="28" t="n"/>
      <c r="O53" s="26" t="n"/>
    </row>
    <row r="54" ht="18.5" customHeight="1">
      <c r="A54" s="27" t="inlineStr">
        <is>
          <t>E2E-08</t>
        </is>
      </c>
      <c r="B54" s="29" t="inlineStr">
        <is>
          <t>สอบเทียบไม่ผ่าน → ระงับในเช็คลิสต์ → WO สอบเทียบ → ผ่าน</t>
        </is>
      </c>
      <c r="C54" s="29" t="inlineStr">
        <is>
          <t>ยืนยันการควบคุมเครื่องมือวัดตาม ISO 9001 7.1.5</t>
        </is>
      </c>
      <c r="D54" s="29" t="inlineStr">
        <is>
          <t>GAU-011 ลงทะเบียนสอบเทียบ; แผน PM ที่ใช้ GAU-011 ในเช็คลิสต์</t>
        </is>
      </c>
      <c r="E54" s="27" t="n">
        <v>2</v>
      </c>
      <c r="F54" s="26" t="inlineStr">
        <is>
          <t>ใบสั่งงาน (PM)</t>
        </is>
      </c>
      <c r="G54" s="26" t="inlineStr">
        <is>
          <t>ช่างซ่อมบำรุง (somchai)</t>
        </is>
      </c>
      <c r="H54" s="26" t="inlineStr">
        <is>
          <t>บันทึกค่าเช็คลิสต์โดยใช้ GAU-011</t>
        </is>
      </c>
      <c r="I54" s="26" t="inlineStr">
        <is>
          <t>ระบบไม่อนุญาต</t>
        </is>
      </c>
      <c r="J54" s="27" t="inlineStr">
        <is>
          <t>UAT-PM-015</t>
        </is>
      </c>
      <c r="K54" s="26" t="n"/>
      <c r="L54" s="27" t="inlineStr">
        <is>
          <t>ยังไม่ทดสอบ</t>
        </is>
      </c>
      <c r="M54" s="26" t="n"/>
      <c r="N54" s="28" t="n"/>
      <c r="O54" s="26" t="n"/>
    </row>
    <row r="55" ht="18.5" customHeight="1">
      <c r="A55" s="27" t="inlineStr">
        <is>
          <t>E2E-08</t>
        </is>
      </c>
      <c r="B55" s="29" t="inlineStr">
        <is>
          <t>สอบเทียบไม่ผ่าน → ระงับในเช็คลิสต์ → WO สอบเทียบ → ผ่าน</t>
        </is>
      </c>
      <c r="C55" s="29" t="inlineStr">
        <is>
          <t>ยืนยันการควบคุมเครื่องมือวัดตาม ISO 9001 7.1.5</t>
        </is>
      </c>
      <c r="D55" s="29" t="inlineStr">
        <is>
          <t>GAU-011 ลงทะเบียนสอบเทียบ; แผน PM ที่ใช้ GAU-011 ในเช็คลิสต์</t>
        </is>
      </c>
      <c r="E55" s="27" t="n">
        <v>3</v>
      </c>
      <c r="F55" s="26" t="inlineStr">
        <is>
          <t>สอบเทียบ</t>
        </is>
      </c>
      <c r="G55" s="26" t="inlineStr">
        <is>
          <t>ผู้จัดการซ่อมบำรุง (maint.mgr)</t>
        </is>
      </c>
      <c r="H55" s="26" t="inlineStr">
        <is>
          <t>เปิดใบงานสอบเทียบ</t>
        </is>
      </c>
      <c r="I55" s="26" t="inlineStr">
        <is>
          <t>WO ประเภท สอบเทียบ</t>
        </is>
      </c>
      <c r="J55" s="27" t="inlineStr">
        <is>
          <t>UAT-CLB-010</t>
        </is>
      </c>
      <c r="K55" s="26" t="n"/>
      <c r="L55" s="27" t="inlineStr">
        <is>
          <t>ยังไม่ทดสอบ</t>
        </is>
      </c>
      <c r="M55" s="26" t="n"/>
      <c r="N55" s="28" t="n"/>
      <c r="O55" s="26" t="n"/>
    </row>
    <row r="56" ht="18.5" customHeight="1">
      <c r="A56" s="27" t="inlineStr">
        <is>
          <t>E2E-08</t>
        </is>
      </c>
      <c r="B56" s="29" t="inlineStr">
        <is>
          <t>สอบเทียบไม่ผ่าน → ระงับในเช็คลิสต์ → WO สอบเทียบ → ผ่าน</t>
        </is>
      </c>
      <c r="C56" s="29" t="inlineStr">
        <is>
          <t>ยืนยันการควบคุมเครื่องมือวัดตาม ISO 9001 7.1.5</t>
        </is>
      </c>
      <c r="D56" s="29" t="inlineStr">
        <is>
          <t>GAU-011 ลงทะเบียนสอบเทียบ; แผน PM ที่ใช้ GAU-011 ในเช็คลิสต์</t>
        </is>
      </c>
      <c r="E56" s="27" t="n">
        <v>4</v>
      </c>
      <c r="F56" s="26" t="inlineStr">
        <is>
          <t>สอบเทียบ</t>
        </is>
      </c>
      <c r="G56" s="26" t="inlineStr">
        <is>
          <t>ผู้จัดการซ่อมบำรุง (maint.mgr)</t>
        </is>
      </c>
      <c r="H56" s="26" t="inlineStr">
        <is>
          <t>บันทึกผลใหม่ ผ่าน พร้อมใบรับรอง</t>
        </is>
      </c>
      <c r="I56" s="26" t="inlineStr">
        <is>
          <t>สถานะ ปกติ; ใบรับรองเข้า DAM; ครบกำหนดใหม่ +12 เดือน</t>
        </is>
      </c>
      <c r="J56" s="27" t="inlineStr">
        <is>
          <t>UAT-CLB-007</t>
        </is>
      </c>
      <c r="K56" s="26" t="n"/>
      <c r="L56" s="27" t="inlineStr">
        <is>
          <t>ยังไม่ทดสอบ</t>
        </is>
      </c>
      <c r="M56" s="26" t="n"/>
      <c r="N56" s="28" t="n"/>
      <c r="O56" s="26" t="n"/>
    </row>
    <row r="57" ht="18.5" customHeight="1">
      <c r="A57" s="27" t="inlineStr">
        <is>
          <t>E2E-08</t>
        </is>
      </c>
      <c r="B57" s="29" t="inlineStr">
        <is>
          <t>สอบเทียบไม่ผ่าน → ระงับในเช็คลิสต์ → WO สอบเทียบ → ผ่าน</t>
        </is>
      </c>
      <c r="C57" s="29" t="inlineStr">
        <is>
          <t>ยืนยันการควบคุมเครื่องมือวัดตาม ISO 9001 7.1.5</t>
        </is>
      </c>
      <c r="D57" s="29" t="inlineStr">
        <is>
          <t>GAU-011 ลงทะเบียนสอบเทียบ; แผน PM ที่ใช้ GAU-011 ในเช็คลิสต์</t>
        </is>
      </c>
      <c r="E57" s="27" t="n">
        <v>5</v>
      </c>
      <c r="F57" s="26" t="inlineStr">
        <is>
          <t>ใบสั่งงาน (PM)</t>
        </is>
      </c>
      <c r="G57" s="26" t="inlineStr">
        <is>
          <t>ช่างซ่อมบำรุง (somchai)</t>
        </is>
      </c>
      <c r="H57" s="26" t="inlineStr">
        <is>
          <t>บันทึกค่าเช็คลิสต์อีกครั้ง</t>
        </is>
      </c>
      <c r="I57" s="26" t="inlineStr">
        <is>
          <t>บันทึกได้</t>
        </is>
      </c>
      <c r="J57" s="27" t="inlineStr">
        <is>
          <t>UAT-PM-015</t>
        </is>
      </c>
      <c r="K57" s="26" t="n"/>
      <c r="L57" s="27" t="inlineStr">
        <is>
          <t>ยังไม่ทดสอบ</t>
        </is>
      </c>
      <c r="M57" s="26" t="n"/>
      <c r="N57" s="28" t="n"/>
      <c r="O57" s="26" t="n"/>
    </row>
    <row r="58" ht="33" customHeight="1">
      <c r="A58" s="19" t="inlineStr">
        <is>
          <t>E2E-09</t>
        </is>
      </c>
      <c r="B58" s="20" t="inlineStr">
        <is>
          <t>อะไหล่ต่ำกว่า ROP → เสนอแนะสั่งซื้อ → PR เติมสต็อก → PO → รับเข้า</t>
        </is>
      </c>
      <c r="C58" s="21" t="inlineStr">
        <is>
          <t>ยืนยันการเติมสต็อกอัตโนมัติ</t>
        </is>
      </c>
      <c r="D58" s="21" t="inlineStr">
        <is>
          <t>SP-BRG-6205 คงเหลือ 3, ROP 6, Max 20, ค้างรับ 0</t>
        </is>
      </c>
      <c r="E58" s="22" t="n">
        <v>1</v>
      </c>
      <c r="F58" s="21" t="inlineStr">
        <is>
          <t>Command Center</t>
        </is>
      </c>
      <c r="G58" s="21" t="inlineStr">
        <is>
          <t>เจ้าหน้าที่คลัง (store)</t>
        </is>
      </c>
      <c r="H58" s="21" t="inlineStr">
        <is>
          <t>ตรวจการ์ด อะไหล่ต่ำกว่าจุดสั่งซื้อ</t>
        </is>
      </c>
      <c r="I58" s="21" t="inlineStr">
        <is>
          <t>แสดงรายการ SP-BRG-6205</t>
        </is>
      </c>
      <c r="J58" s="22" t="inlineStr">
        <is>
          <t>UAT-DSH-002</t>
        </is>
      </c>
      <c r="K58" s="21" t="n"/>
      <c r="L58" s="22" t="inlineStr">
        <is>
          <t>ยังไม่ทดสอบ</t>
        </is>
      </c>
      <c r="M58" s="21" t="n"/>
      <c r="N58" s="23" t="n"/>
      <c r="O58" s="21" t="n"/>
    </row>
    <row r="59" ht="18.5" customHeight="1">
      <c r="A59" s="22" t="inlineStr">
        <is>
          <t>E2E-09</t>
        </is>
      </c>
      <c r="B59" s="24" t="inlineStr">
        <is>
          <t>อะไหล่ต่ำกว่า ROP → เสนอแนะสั่งซื้อ → PR เติมสต็อก → PO → รับเข้า</t>
        </is>
      </c>
      <c r="C59" s="24" t="inlineStr">
        <is>
          <t>ยืนยันการเติมสต็อกอัตโนมัติ</t>
        </is>
      </c>
      <c r="D59" s="24" t="inlineStr">
        <is>
          <t>SP-BRG-6205 คงเหลือ 3, ROP 6, Max 20, ค้างรับ 0</t>
        </is>
      </c>
      <c r="E59" s="22" t="n">
        <v>2</v>
      </c>
      <c r="F59" s="21" t="inlineStr">
        <is>
          <t>คลังอะไหล่</t>
        </is>
      </c>
      <c r="G59" s="21" t="inlineStr">
        <is>
          <t>เจ้าหน้าที่คลัง (store)</t>
        </is>
      </c>
      <c r="H59" s="21" t="inlineStr">
        <is>
          <t>แท็บ เสนอแนะสั่งซื้อ → สร้าง PR</t>
        </is>
      </c>
      <c r="I59" s="21" t="inlineStr">
        <is>
          <t>PR เติมสต็อก จำนวนแนะนำ 17</t>
        </is>
      </c>
      <c r="J59" s="22" t="inlineStr">
        <is>
          <t>UAT-SP-014</t>
        </is>
      </c>
      <c r="K59" s="21" t="n"/>
      <c r="L59" s="22" t="inlineStr">
        <is>
          <t>ยังไม่ทดสอบ</t>
        </is>
      </c>
      <c r="M59" s="21" t="n"/>
      <c r="N59" s="23" t="n"/>
      <c r="O59" s="21" t="n"/>
    </row>
    <row r="60" ht="18.5" customHeight="1">
      <c r="A60" s="22" t="inlineStr">
        <is>
          <t>E2E-09</t>
        </is>
      </c>
      <c r="B60" s="24" t="inlineStr">
        <is>
          <t>อะไหล่ต่ำกว่า ROP → เสนอแนะสั่งซื้อ → PR เติมสต็อก → PO → รับเข้า</t>
        </is>
      </c>
      <c r="C60" s="24" t="inlineStr">
        <is>
          <t>ยืนยันการเติมสต็อกอัตโนมัติ</t>
        </is>
      </c>
      <c r="D60" s="24" t="inlineStr">
        <is>
          <t>SP-BRG-6205 คงเหลือ 3, ROP 6, Max 20, ค้างรับ 0</t>
        </is>
      </c>
      <c r="E60" s="22" t="n">
        <v>3</v>
      </c>
      <c r="F60" s="21" t="inlineStr">
        <is>
          <t>จัดซื้อ PR/PO</t>
        </is>
      </c>
      <c r="G60" s="21" t="inlineStr">
        <is>
          <t>ผู้บริหาร (exec)</t>
        </is>
      </c>
      <c r="H60" s="21" t="inlineStr">
        <is>
          <t>อนุมัติ PR</t>
        </is>
      </c>
      <c r="I60" s="21" t="inlineStr">
        <is>
          <t>อนุมัติแล้ว</t>
        </is>
      </c>
      <c r="J60" s="22" t="inlineStr">
        <is>
          <t>UAT-PUR-007</t>
        </is>
      </c>
      <c r="K60" s="21" t="n"/>
      <c r="L60" s="22" t="inlineStr">
        <is>
          <t>ยังไม่ทดสอบ</t>
        </is>
      </c>
      <c r="M60" s="21" t="n"/>
      <c r="N60" s="23" t="n"/>
      <c r="O60" s="21" t="n"/>
    </row>
    <row r="61" ht="18.5" customHeight="1">
      <c r="A61" s="22" t="inlineStr">
        <is>
          <t>E2E-09</t>
        </is>
      </c>
      <c r="B61" s="24" t="inlineStr">
        <is>
          <t>อะไหล่ต่ำกว่า ROP → เสนอแนะสั่งซื้อ → PR เติมสต็อก → PO → รับเข้า</t>
        </is>
      </c>
      <c r="C61" s="24" t="inlineStr">
        <is>
          <t>ยืนยันการเติมสต็อกอัตโนมัติ</t>
        </is>
      </c>
      <c r="D61" s="24" t="inlineStr">
        <is>
          <t>SP-BRG-6205 คงเหลือ 3, ROP 6, Max 20, ค้างรับ 0</t>
        </is>
      </c>
      <c r="E61" s="22" t="n">
        <v>4</v>
      </c>
      <c r="F61" s="21" t="inlineStr">
        <is>
          <t>จัดซื้อ PR/PO</t>
        </is>
      </c>
      <c r="G61" s="21" t="inlineStr">
        <is>
          <t>เจ้าหน้าที่จัดซื้อ (purchase)</t>
        </is>
      </c>
      <c r="H61" s="21" t="inlineStr">
        <is>
          <t>ออก PO</t>
        </is>
      </c>
      <c r="I61" s="21" t="inlineStr">
        <is>
          <t>ค้างรับในคลัง = 17</t>
        </is>
      </c>
      <c r="J61" s="22" t="inlineStr">
        <is>
          <t>UAT-PUR-010</t>
        </is>
      </c>
      <c r="K61" s="21" t="n"/>
      <c r="L61" s="22" t="inlineStr">
        <is>
          <t>ยังไม่ทดสอบ</t>
        </is>
      </c>
      <c r="M61" s="21" t="n"/>
      <c r="N61" s="23" t="n"/>
      <c r="O61" s="21" t="n"/>
    </row>
    <row r="62" ht="18.5" customHeight="1">
      <c r="A62" s="22" t="inlineStr">
        <is>
          <t>E2E-09</t>
        </is>
      </c>
      <c r="B62" s="24" t="inlineStr">
        <is>
          <t>อะไหล่ต่ำกว่า ROP → เสนอแนะสั่งซื้อ → PR เติมสต็อก → PO → รับเข้า</t>
        </is>
      </c>
      <c r="C62" s="24" t="inlineStr">
        <is>
          <t>ยืนยันการเติมสต็อกอัตโนมัติ</t>
        </is>
      </c>
      <c r="D62" s="24" t="inlineStr">
        <is>
          <t>SP-BRG-6205 คงเหลือ 3, ROP 6, Max 20, ค้างรับ 0</t>
        </is>
      </c>
      <c r="E62" s="22" t="n">
        <v>5</v>
      </c>
      <c r="F62" s="21" t="inlineStr">
        <is>
          <t>จัดซื้อ PR/PO</t>
        </is>
      </c>
      <c r="G62" s="21" t="inlineStr">
        <is>
          <t>เจ้าหน้าที่คลัง (store)</t>
        </is>
      </c>
      <c r="H62" s="21" t="inlineStr">
        <is>
          <t>รับของครบ</t>
        </is>
      </c>
      <c r="I62" s="21" t="inlineStr">
        <is>
          <t>คงเหลือ 20; ค้างรับ 0; ต้นทุนเฉลี่ยใหม่</t>
        </is>
      </c>
      <c r="J62" s="22" t="inlineStr">
        <is>
          <t>UAT-PUR-012</t>
        </is>
      </c>
      <c r="K62" s="21" t="n"/>
      <c r="L62" s="22" t="inlineStr">
        <is>
          <t>ยังไม่ทดสอบ</t>
        </is>
      </c>
      <c r="M62" s="21" t="n"/>
      <c r="N62" s="23" t="n"/>
      <c r="O62" s="21" t="n"/>
    </row>
    <row r="63" ht="33" customHeight="1">
      <c r="A63" s="25" t="inlineStr">
        <is>
          <t>E2E-10</t>
        </is>
      </c>
      <c r="B63" s="4" t="inlineStr">
        <is>
          <t>ไลเซนส์เกินสิทธิ์ → PR ซื้อเพิ่ม → อัปเดตสิทธิ์ → Compliance ปกติ</t>
        </is>
      </c>
      <c r="C63" s="26" t="inlineStr">
        <is>
          <t>ยืนยันการจัดการ Software Asset ตาม ISO/IEC 19770</t>
        </is>
      </c>
      <c r="D63" s="26" t="inlineStr">
        <is>
          <t>AutoCAD ติดตั้ง 17 สิทธิ์ 15</t>
        </is>
      </c>
      <c r="E63" s="27" t="n">
        <v>1</v>
      </c>
      <c r="F63" s="26" t="inlineStr">
        <is>
          <t>IT Asset &amp; License</t>
        </is>
      </c>
      <c r="G63" s="26" t="inlineStr">
        <is>
          <t>ผู้ดูแลระบบ IT (it.admin)</t>
        </is>
      </c>
      <c r="H63" s="26" t="inlineStr">
        <is>
          <t>แท็บ Compliance → ซื้อเพิ่ม 2 สิทธิ์</t>
        </is>
      </c>
      <c r="I63" s="26" t="inlineStr">
        <is>
          <t>สร้าง PR ที่ผูกไลเซนส์</t>
        </is>
      </c>
      <c r="J63" s="27" t="inlineStr">
        <is>
          <t>UAT-ITAM-011</t>
        </is>
      </c>
      <c r="K63" s="26" t="n"/>
      <c r="L63" s="27" t="inlineStr">
        <is>
          <t>ยังไม่ทดสอบ</t>
        </is>
      </c>
      <c r="M63" s="26" t="n"/>
      <c r="N63" s="28" t="n"/>
      <c r="O63" s="26" t="n"/>
    </row>
    <row r="64" ht="18.5" customHeight="1">
      <c r="A64" s="27" t="inlineStr">
        <is>
          <t>E2E-10</t>
        </is>
      </c>
      <c r="B64" s="29" t="inlineStr">
        <is>
          <t>ไลเซนส์เกินสิทธิ์ → PR ซื้อเพิ่ม → อัปเดตสิทธิ์ → Compliance ปกติ</t>
        </is>
      </c>
      <c r="C64" s="29" t="inlineStr">
        <is>
          <t>ยืนยันการจัดการ Software Asset ตาม ISO/IEC 19770</t>
        </is>
      </c>
      <c r="D64" s="29" t="inlineStr">
        <is>
          <t>AutoCAD ติดตั้ง 17 สิทธิ์ 15</t>
        </is>
      </c>
      <c r="E64" s="27" t="n">
        <v>2</v>
      </c>
      <c r="F64" s="26" t="inlineStr">
        <is>
          <t>จัดซื้อ PR/PO</t>
        </is>
      </c>
      <c r="G64" s="26" t="inlineStr">
        <is>
          <t>ผู้บริหาร (exec)</t>
        </is>
      </c>
      <c r="H64" s="26" t="inlineStr">
        <is>
          <t>อนุมัติ PR และออก PO</t>
        </is>
      </c>
      <c r="I64" s="26" t="inlineStr">
        <is>
          <t>PO รอส่ง</t>
        </is>
      </c>
      <c r="J64" s="27" t="inlineStr">
        <is>
          <t>UAT-PUR-007</t>
        </is>
      </c>
      <c r="K64" s="26" t="n"/>
      <c r="L64" s="27" t="inlineStr">
        <is>
          <t>ยังไม่ทดสอบ</t>
        </is>
      </c>
      <c r="M64" s="26" t="n"/>
      <c r="N64" s="28" t="n"/>
      <c r="O64" s="26" t="n"/>
    </row>
    <row r="65" ht="18.5" customHeight="1">
      <c r="A65" s="27" t="inlineStr">
        <is>
          <t>E2E-10</t>
        </is>
      </c>
      <c r="B65" s="29" t="inlineStr">
        <is>
          <t>ไลเซนส์เกินสิทธิ์ → PR ซื้อเพิ่ม → อัปเดตสิทธิ์ → Compliance ปกติ</t>
        </is>
      </c>
      <c r="C65" s="29" t="inlineStr">
        <is>
          <t>ยืนยันการจัดการ Software Asset ตาม ISO/IEC 19770</t>
        </is>
      </c>
      <c r="D65" s="29" t="inlineStr">
        <is>
          <t>AutoCAD ติดตั้ง 17 สิทธิ์ 15</t>
        </is>
      </c>
      <c r="E65" s="27" t="n">
        <v>3</v>
      </c>
      <c r="F65" s="26" t="inlineStr">
        <is>
          <t>จัดซื้อ PR/PO</t>
        </is>
      </c>
      <c r="G65" s="26" t="inlineStr">
        <is>
          <t>ผู้ดูแลระบบ IT (it.admin)</t>
        </is>
      </c>
      <c r="H65" s="26" t="inlineStr">
        <is>
          <t>รับของ (License Key)</t>
        </is>
      </c>
      <c r="I65" s="26" t="inlineStr">
        <is>
          <t>ไลเซนส์อัปเดตสิทธิ์เป็น 17</t>
        </is>
      </c>
      <c r="J65" s="27" t="inlineStr">
        <is>
          <t>UAT-PUR-012</t>
        </is>
      </c>
      <c r="K65" s="26" t="n"/>
      <c r="L65" s="27" t="inlineStr">
        <is>
          <t>ยังไม่ทดสอบ</t>
        </is>
      </c>
      <c r="M65" s="26" t="n"/>
      <c r="N65" s="28" t="n"/>
      <c r="O65" s="26" t="n"/>
    </row>
    <row r="66" ht="18.5" customHeight="1">
      <c r="A66" s="27" t="inlineStr">
        <is>
          <t>E2E-10</t>
        </is>
      </c>
      <c r="B66" s="29" t="inlineStr">
        <is>
          <t>ไลเซนส์เกินสิทธิ์ → PR ซื้อเพิ่ม → อัปเดตสิทธิ์ → Compliance ปกติ</t>
        </is>
      </c>
      <c r="C66" s="29" t="inlineStr">
        <is>
          <t>ยืนยันการจัดการ Software Asset ตาม ISO/IEC 19770</t>
        </is>
      </c>
      <c r="D66" s="29" t="inlineStr">
        <is>
          <t>AutoCAD ติดตั้ง 17 สิทธิ์ 15</t>
        </is>
      </c>
      <c r="E66" s="27" t="n">
        <v>4</v>
      </c>
      <c r="F66" s="26" t="inlineStr">
        <is>
          <t>IT Asset &amp; License</t>
        </is>
      </c>
      <c r="G66" s="26" t="inlineStr">
        <is>
          <t>ผู้ดูแลระบบ IT (it.admin)</t>
        </is>
      </c>
      <c r="H66" s="26" t="inlineStr">
        <is>
          <t>ตรวจ Compliance และกราฟอัตราใช้สิทธิ์</t>
        </is>
      </c>
      <c r="I66" s="26" t="inlineStr">
        <is>
          <t>AutoCAD 100% ไม่เกินสิทธิ์; badge Compliance ลดลง</t>
        </is>
      </c>
      <c r="J66" s="27" t="inlineStr">
        <is>
          <t>UAT-ITAM-010</t>
        </is>
      </c>
      <c r="K66" s="26" t="n"/>
      <c r="L66" s="27" t="inlineStr">
        <is>
          <t>ยังไม่ทดสอบ</t>
        </is>
      </c>
      <c r="M66" s="26" t="n"/>
      <c r="N66" s="28" t="n"/>
      <c r="O66" s="26" t="n"/>
    </row>
    <row r="67" ht="33" customHeight="1">
      <c r="A67" s="19" t="inlineStr">
        <is>
          <t>E2E-11</t>
        </is>
      </c>
      <c r="B67" s="20" t="inlineStr">
        <is>
          <t>สร้างผู้ใช้ใหม่ → กำหนดบทบาท/ขอบเขต → ทำงานตามสิทธิ์ → Audit Log</t>
        </is>
      </c>
      <c r="C67" s="21" t="inlineStr">
        <is>
          <t>ยืนยัน RBAC และการบันทึก Audit</t>
        </is>
      </c>
      <c r="D67" s="21" t="inlineStr">
        <is>
          <t>ผู้ดูแลระบบสูงสุดล็อกอิน</t>
        </is>
      </c>
      <c r="E67" s="22" t="n">
        <v>1</v>
      </c>
      <c r="F67" s="21" t="inlineStr">
        <is>
          <t>ผู้ใช้งาน</t>
        </is>
      </c>
      <c r="G67" s="21" t="inlineStr">
        <is>
          <t>ผู้ดูแลระบบสูงสุด (admin)</t>
        </is>
      </c>
      <c r="H67" s="21" t="inlineStr">
        <is>
          <t>เพิ่มผู้ใช้ somsri บทบาท ช่างซ่อมบำรุง ขอบเขต ไซต์ของตน (ระยอง)</t>
        </is>
      </c>
      <c r="I67" s="21" t="inlineStr">
        <is>
          <t>ผู้ใช้สถานะ ใช้งาน รอเปลี่ยนรหัส</t>
        </is>
      </c>
      <c r="J67" s="22" t="inlineStr">
        <is>
          <t>UAT-USR-003</t>
        </is>
      </c>
      <c r="K67" s="21" t="n"/>
      <c r="L67" s="22" t="inlineStr">
        <is>
          <t>ยังไม่ทดสอบ</t>
        </is>
      </c>
      <c r="M67" s="21" t="n"/>
      <c r="N67" s="23" t="n"/>
      <c r="O67" s="21" t="n"/>
    </row>
    <row r="68" ht="18.5" customHeight="1">
      <c r="A68" s="22" t="inlineStr">
        <is>
          <t>E2E-11</t>
        </is>
      </c>
      <c r="B68" s="24" t="inlineStr">
        <is>
          <t>สร้างผู้ใช้ใหม่ → กำหนดบทบาท/ขอบเขต → ทำงานตามสิทธิ์ → Audit Log</t>
        </is>
      </c>
      <c r="C68" s="24" t="inlineStr">
        <is>
          <t>ยืนยัน RBAC และการบันทึก Audit</t>
        </is>
      </c>
      <c r="D68" s="24" t="inlineStr">
        <is>
          <t>ผู้ดูแลระบบสูงสุดล็อกอิน</t>
        </is>
      </c>
      <c r="E68" s="22" t="n">
        <v>2</v>
      </c>
      <c r="F68" s="21" t="inlineStr">
        <is>
          <t>เข้าสู่ระบบ</t>
        </is>
      </c>
      <c r="G68" s="21" t="inlineStr">
        <is>
          <t>somsri</t>
        </is>
      </c>
      <c r="H68" s="21" t="inlineStr">
        <is>
          <t>ล็อกอินครั้งแรกและเปลี่ยนรหัส</t>
        </is>
      </c>
      <c r="I68" s="21" t="inlineStr">
        <is>
          <t>เข้าได้ เห็นเมนูตามสิทธิ์</t>
        </is>
      </c>
      <c r="J68" s="22" t="inlineStr">
        <is>
          <t>UAT-GEN-001</t>
        </is>
      </c>
      <c r="K68" s="21" t="n"/>
      <c r="L68" s="22" t="inlineStr">
        <is>
          <t>ยังไม่ทดสอบ</t>
        </is>
      </c>
      <c r="M68" s="21" t="n"/>
      <c r="N68" s="23" t="n"/>
      <c r="O68" s="21" t="n"/>
    </row>
    <row r="69" ht="18.5" customHeight="1">
      <c r="A69" s="22" t="inlineStr">
        <is>
          <t>E2E-11</t>
        </is>
      </c>
      <c r="B69" s="24" t="inlineStr">
        <is>
          <t>สร้างผู้ใช้ใหม่ → กำหนดบทบาท/ขอบเขต → ทำงานตามสิทธิ์ → Audit Log</t>
        </is>
      </c>
      <c r="C69" s="24" t="inlineStr">
        <is>
          <t>ยืนยัน RBAC และการบันทึก Audit</t>
        </is>
      </c>
      <c r="D69" s="24" t="inlineStr">
        <is>
          <t>ผู้ดูแลระบบสูงสุดล็อกอิน</t>
        </is>
      </c>
      <c r="E69" s="22" t="n">
        <v>3</v>
      </c>
      <c r="F69" s="21" t="inlineStr">
        <is>
          <t>ใบสั่งงาน</t>
        </is>
      </c>
      <c r="G69" s="21" t="inlineStr">
        <is>
          <t>somsri</t>
        </is>
      </c>
      <c r="H69" s="21" t="inlineStr">
        <is>
          <t>เปิดรายการ WO</t>
        </is>
      </c>
      <c r="I69" s="21" t="inlineStr">
        <is>
          <t>เห็นเฉพาะไซต์ระยอง ไม่มีปุ่มอนุมัติ/มอบหมาย</t>
        </is>
      </c>
      <c r="J69" s="22" t="inlineStr">
        <is>
          <t>UAT-WO-019</t>
        </is>
      </c>
      <c r="K69" s="21" t="n"/>
      <c r="L69" s="22" t="inlineStr">
        <is>
          <t>ยังไม่ทดสอบ</t>
        </is>
      </c>
      <c r="M69" s="21" t="n"/>
      <c r="N69" s="23" t="n"/>
      <c r="O69" s="21" t="n"/>
    </row>
    <row r="70" ht="18.5" customHeight="1">
      <c r="A70" s="22" t="inlineStr">
        <is>
          <t>E2E-11</t>
        </is>
      </c>
      <c r="B70" s="24" t="inlineStr">
        <is>
          <t>สร้างผู้ใช้ใหม่ → กำหนดบทบาท/ขอบเขต → ทำงานตามสิทธิ์ → Audit Log</t>
        </is>
      </c>
      <c r="C70" s="24" t="inlineStr">
        <is>
          <t>ยืนยัน RBAC และการบันทึก Audit</t>
        </is>
      </c>
      <c r="D70" s="24" t="inlineStr">
        <is>
          <t>ผู้ดูแลระบบสูงสุดล็อกอิน</t>
        </is>
      </c>
      <c r="E70" s="22" t="n">
        <v>4</v>
      </c>
      <c r="F70" s="21" t="inlineStr">
        <is>
          <t>ตั้งค่าระบบ</t>
        </is>
      </c>
      <c r="G70" s="21" t="inlineStr">
        <is>
          <t>somsri</t>
        </is>
      </c>
      <c r="H70" s="21" t="inlineStr">
        <is>
          <t>เปิด URL ตั้งค่าระบบ</t>
        </is>
      </c>
      <c r="I70" s="21" t="inlineStr">
        <is>
          <t>ถูกปฏิเสธ</t>
        </is>
      </c>
      <c r="J70" s="22" t="inlineStr">
        <is>
          <t>UAT-GEN-016</t>
        </is>
      </c>
      <c r="K70" s="21" t="n"/>
      <c r="L70" s="22" t="inlineStr">
        <is>
          <t>ยังไม่ทดสอบ</t>
        </is>
      </c>
      <c r="M70" s="21" t="n"/>
      <c r="N70" s="23" t="n"/>
      <c r="O70" s="21" t="n"/>
    </row>
    <row r="71" ht="18.5" customHeight="1">
      <c r="A71" s="22" t="inlineStr">
        <is>
          <t>E2E-11</t>
        </is>
      </c>
      <c r="B71" s="24" t="inlineStr">
        <is>
          <t>สร้างผู้ใช้ใหม่ → กำหนดบทบาท/ขอบเขต → ทำงานตามสิทธิ์ → Audit Log</t>
        </is>
      </c>
      <c r="C71" s="24" t="inlineStr">
        <is>
          <t>ยืนยัน RBAC และการบันทึก Audit</t>
        </is>
      </c>
      <c r="D71" s="24" t="inlineStr">
        <is>
          <t>ผู้ดูแลระบบสูงสุดล็อกอิน</t>
        </is>
      </c>
      <c r="E71" s="22" t="n">
        <v>5</v>
      </c>
      <c r="F71" s="21" t="inlineStr">
        <is>
          <t>ผู้ใช้งาน</t>
        </is>
      </c>
      <c r="G71" s="21" t="inlineStr">
        <is>
          <t>ผู้ดูแลระบบสูงสุด (admin)</t>
        </is>
      </c>
      <c r="H71" s="21" t="inlineStr">
        <is>
          <t>ระงับผู้ใช้ somsri</t>
        </is>
      </c>
      <c r="I71" s="21" t="inlineStr">
        <is>
          <t>ล็อกอินไม่ได้</t>
        </is>
      </c>
      <c r="J71" s="22" t="inlineStr">
        <is>
          <t>UAT-USR-009</t>
        </is>
      </c>
      <c r="K71" s="21" t="n"/>
      <c r="L71" s="22" t="inlineStr">
        <is>
          <t>ยังไม่ทดสอบ</t>
        </is>
      </c>
      <c r="M71" s="21" t="n"/>
      <c r="N71" s="23" t="n"/>
      <c r="O71" s="21" t="n"/>
    </row>
    <row r="72" ht="18.5" customHeight="1">
      <c r="A72" s="22" t="inlineStr">
        <is>
          <t>E2E-11</t>
        </is>
      </c>
      <c r="B72" s="24" t="inlineStr">
        <is>
          <t>สร้างผู้ใช้ใหม่ → กำหนดบทบาท/ขอบเขต → ทำงานตามสิทธิ์ → Audit Log</t>
        </is>
      </c>
      <c r="C72" s="24" t="inlineStr">
        <is>
          <t>ยืนยัน RBAC และการบันทึก Audit</t>
        </is>
      </c>
      <c r="D72" s="24" t="inlineStr">
        <is>
          <t>ผู้ดูแลระบบสูงสุดล็อกอิน</t>
        </is>
      </c>
      <c r="E72" s="22" t="n">
        <v>6</v>
      </c>
      <c r="F72" s="21" t="inlineStr">
        <is>
          <t>Audit Log</t>
        </is>
      </c>
      <c r="G72" s="21" t="inlineStr">
        <is>
          <t>ผู้ตรวจสอบ (auditor)</t>
        </is>
      </c>
      <c r="H72" s="21" t="inlineStr">
        <is>
          <t>กรองผู้ใช้ somsri / โมดูล roles,auth</t>
        </is>
      </c>
      <c r="I72" s="21" t="inlineStr">
        <is>
          <t>มีเหตุการณ์ create/login/update ครบ</t>
        </is>
      </c>
      <c r="J72" s="22" t="inlineStr">
        <is>
          <t>UAT-AUD-008</t>
        </is>
      </c>
      <c r="K72" s="21" t="n"/>
      <c r="L72" s="22" t="inlineStr">
        <is>
          <t>ยังไม่ทดสอบ</t>
        </is>
      </c>
      <c r="M72" s="21" t="n"/>
      <c r="N72" s="23" t="n"/>
      <c r="O72" s="21" t="n"/>
    </row>
    <row r="73" ht="33" customHeight="1">
      <c r="A73" s="25" t="inlineStr">
        <is>
          <t>E2E-12</t>
        </is>
      </c>
      <c r="B73" s="4" t="inlineStr">
        <is>
          <t>Custom Field Builder → ใช้ในฟอร์ม → ค้นหา/รายงาน/ส่งออก</t>
        </is>
      </c>
      <c r="C73" s="26" t="inlineStr">
        <is>
          <t>ยืนยันว่าฟิลด์ที่ผู้ใช้กำหนดเองใช้ได้ครบวงจร</t>
        </is>
      </c>
      <c r="D73" s="26" t="inlineStr">
        <is>
          <t>ผู้ดูแลระบบมีสิทธิ์ข้อมูลหลัก</t>
        </is>
      </c>
      <c r="E73" s="27" t="n">
        <v>1</v>
      </c>
      <c r="F73" s="26" t="inlineStr">
        <is>
          <t>ข้อมูลหลัก &gt; ฟิลด์เพิ่มเติม</t>
        </is>
      </c>
      <c r="G73" s="26" t="inlineStr">
        <is>
          <t>ผู้ดูแลระบบสูงสุด (admin)</t>
        </is>
      </c>
      <c r="H73" s="26" t="inlineStr">
        <is>
          <t>สร้างฟิลด์ IP Address (ข้อความ, บังคับ) หมวด IT และ Cost center (dropdown) ใช้กับใบสั่งงาน</t>
        </is>
      </c>
      <c r="I73" s="26" t="inlineStr">
        <is>
          <t>บันทึกโครงสร้างสำเร็จ</t>
        </is>
      </c>
      <c r="J73" s="27" t="inlineStr">
        <is>
          <t>UAT-MD-009</t>
        </is>
      </c>
      <c r="K73" s="26" t="n"/>
      <c r="L73" s="27" t="inlineStr">
        <is>
          <t>ยังไม่ทดสอบ</t>
        </is>
      </c>
      <c r="M73" s="26" t="n"/>
      <c r="N73" s="28" t="n"/>
      <c r="O73" s="26" t="n"/>
    </row>
    <row r="74" ht="18.5" customHeight="1">
      <c r="A74" s="27" t="inlineStr">
        <is>
          <t>E2E-12</t>
        </is>
      </c>
      <c r="B74" s="29" t="inlineStr">
        <is>
          <t>Custom Field Builder → ใช้ในฟอร์ม → ค้นหา/รายงาน/ส่งออก</t>
        </is>
      </c>
      <c r="C74" s="29" t="inlineStr">
        <is>
          <t>ยืนยันว่าฟิลด์ที่ผู้ใช้กำหนดเองใช้ได้ครบวงจร</t>
        </is>
      </c>
      <c r="D74" s="29" t="inlineStr">
        <is>
          <t>ผู้ดูแลระบบมีสิทธิ์ข้อมูลหลัก</t>
        </is>
      </c>
      <c r="E74" s="27" t="n">
        <v>2</v>
      </c>
      <c r="F74" s="26" t="inlineStr">
        <is>
          <t>ทะเบียนทรัพย์สินกลาง</t>
        </is>
      </c>
      <c r="G74" s="26" t="inlineStr">
        <is>
          <t>ผู้จัดการทรัพย์สิน (asset.mgr)</t>
        </is>
      </c>
      <c r="H74" s="26" t="inlineStr">
        <is>
          <t>เพิ่ม Notebook โดยไม่กรอก IP แล้วกรอก 10.10.1.25</t>
        </is>
      </c>
      <c r="I74" s="26" t="inlineStr">
        <is>
          <t>ครั้งแรกถูกบล็อก ครั้งที่สองบันทึกได้</t>
        </is>
      </c>
      <c r="J74" s="27" t="inlineStr">
        <is>
          <t>UAT-AST-014</t>
        </is>
      </c>
      <c r="K74" s="26" t="n"/>
      <c r="L74" s="27" t="inlineStr">
        <is>
          <t>ยังไม่ทดสอบ</t>
        </is>
      </c>
      <c r="M74" s="26" t="n"/>
      <c r="N74" s="28" t="n"/>
      <c r="O74" s="26" t="n"/>
    </row>
    <row r="75" ht="18.5" customHeight="1">
      <c r="A75" s="27" t="inlineStr">
        <is>
          <t>E2E-12</t>
        </is>
      </c>
      <c r="B75" s="29" t="inlineStr">
        <is>
          <t>Custom Field Builder → ใช้ในฟอร์ม → ค้นหา/รายงาน/ส่งออก</t>
        </is>
      </c>
      <c r="C75" s="29" t="inlineStr">
        <is>
          <t>ยืนยันว่าฟิลด์ที่ผู้ใช้กำหนดเองใช้ได้ครบวงจร</t>
        </is>
      </c>
      <c r="D75" s="29" t="inlineStr">
        <is>
          <t>ผู้ดูแลระบบมีสิทธิ์ข้อมูลหลัก</t>
        </is>
      </c>
      <c r="E75" s="27" t="n">
        <v>3</v>
      </c>
      <c r="F75" s="26" t="inlineStr">
        <is>
          <t>ใบสั่งงาน</t>
        </is>
      </c>
      <c r="G75" s="26" t="inlineStr">
        <is>
          <t>ผู้จัดการซ่อมบำรุง (maint.mgr)</t>
        </is>
      </c>
      <c r="H75" s="26" t="inlineStr">
        <is>
          <t>สร้าง WO เลือก Cost center = CC-IT</t>
        </is>
      </c>
      <c r="I75" s="26" t="inlineStr">
        <is>
          <t>บันทึกค่า custom field</t>
        </is>
      </c>
      <c r="J75" s="27" t="inlineStr">
        <is>
          <t>UAT-MD-014</t>
        </is>
      </c>
      <c r="K75" s="26" t="n"/>
      <c r="L75" s="27" t="inlineStr">
        <is>
          <t>ยังไม่ทดสอบ</t>
        </is>
      </c>
      <c r="M75" s="26" t="n"/>
      <c r="N75" s="28" t="n"/>
      <c r="O75" s="26" t="n"/>
    </row>
    <row r="76" ht="18.5" customHeight="1">
      <c r="A76" s="27" t="inlineStr">
        <is>
          <t>E2E-12</t>
        </is>
      </c>
      <c r="B76" s="29" t="inlineStr">
        <is>
          <t>Custom Field Builder → ใช้ในฟอร์ม → ค้นหา/รายงาน/ส่งออก</t>
        </is>
      </c>
      <c r="C76" s="29" t="inlineStr">
        <is>
          <t>ยืนยันว่าฟิลด์ที่ผู้ใช้กำหนดเองใช้ได้ครบวงจร</t>
        </is>
      </c>
      <c r="D76" s="29" t="inlineStr">
        <is>
          <t>ผู้ดูแลระบบมีสิทธิ์ข้อมูลหลัก</t>
        </is>
      </c>
      <c r="E76" s="27" t="n">
        <v>4</v>
      </c>
      <c r="F76" s="26" t="inlineStr">
        <is>
          <t>รายงาน &amp; KPI</t>
        </is>
      </c>
      <c r="G76" s="26" t="inlineStr">
        <is>
          <t>ผู้จัดการซ่อมบำรุง (maint.mgr)</t>
        </is>
      </c>
      <c r="H76" s="26" t="inlineStr">
        <is>
          <t>สร้างรายงานกำหนดเองจัดกลุ่มตาม Cost center</t>
        </is>
      </c>
      <c r="I76" s="26" t="inlineStr">
        <is>
          <t>รายงานแสดงค่าถูกต้อง</t>
        </is>
      </c>
      <c r="J76" s="27" t="inlineStr">
        <is>
          <t>UAT-RPT-012</t>
        </is>
      </c>
      <c r="K76" s="26" t="n"/>
      <c r="L76" s="27" t="inlineStr">
        <is>
          <t>ยังไม่ทดสอบ</t>
        </is>
      </c>
      <c r="M76" s="26" t="n"/>
      <c r="N76" s="28" t="n"/>
      <c r="O76" s="26" t="n"/>
    </row>
    <row r="77" ht="18.5" customHeight="1">
      <c r="A77" s="27" t="inlineStr">
        <is>
          <t>E2E-12</t>
        </is>
      </c>
      <c r="B77" s="29" t="inlineStr">
        <is>
          <t>Custom Field Builder → ใช้ในฟอร์ม → ค้นหา/รายงาน/ส่งออก</t>
        </is>
      </c>
      <c r="C77" s="29" t="inlineStr">
        <is>
          <t>ยืนยันว่าฟิลด์ที่ผู้ใช้กำหนดเองใช้ได้ครบวงจร</t>
        </is>
      </c>
      <c r="D77" s="29" t="inlineStr">
        <is>
          <t>ผู้ดูแลระบบมีสิทธิ์ข้อมูลหลัก</t>
        </is>
      </c>
      <c r="E77" s="27" t="n">
        <v>5</v>
      </c>
      <c r="F77" s="26" t="inlineStr">
        <is>
          <t>ทะเบียนทรัพย์สินกลาง</t>
        </is>
      </c>
      <c r="G77" s="26" t="inlineStr">
        <is>
          <t>ผู้จัดการทรัพย์สิน (asset.mgr)</t>
        </is>
      </c>
      <c r="H77" s="26" t="inlineStr">
        <is>
          <t>ส่งออก Excel</t>
        </is>
      </c>
      <c r="I77" s="26" t="inlineStr">
        <is>
          <t>คอลัมน์ IP Address อยู่ในไฟล์</t>
        </is>
      </c>
      <c r="J77" s="27" t="inlineStr">
        <is>
          <t>UAT-AST-020</t>
        </is>
      </c>
      <c r="K77" s="26" t="n"/>
      <c r="L77" s="27" t="inlineStr">
        <is>
          <t>ยังไม่ทดสอบ</t>
        </is>
      </c>
      <c r="M77" s="26" t="n"/>
      <c r="N77" s="28" t="n"/>
      <c r="O77" s="26" t="n"/>
    </row>
  </sheetData>
  <autoFilter ref="A1:O77"/>
  <conditionalFormatting sqref="L2:L77">
    <cfRule type="cellIs" priority="1" operator="equal" dxfId="1">
      <formula>"ผ่าน"</formula>
    </cfRule>
    <cfRule type="cellIs" priority="2" operator="equal" dxfId="2">
      <formula>"ไม่ผ่าน"</formula>
    </cfRule>
    <cfRule type="cellIs" priority="3" operator="equal" dxfId="3">
      <formula>"ติดเงื่อนไข"</formula>
    </cfRule>
  </conditionalFormatting>
  <dataValidations count="1">
    <dataValidation sqref="L2:L77" showDropDown="0" showInputMessage="0" showErrorMessage="0" allowBlank="0" type="list">
      <formula1>"ผ่าน,ไม่ผ่าน,ติดเงื่อนไข,ยังไม่ทดสอบ"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30" customWidth="1" min="5" max="5"/>
    <col width="36" customWidth="1" min="6" max="6"/>
    <col width="36" customWidth="1" min="7" max="7"/>
    <col width="28" customWidth="1" min="8" max="8"/>
    <col width="28" customWidth="1" min="9" max="9"/>
    <col width="14" customWidth="1" min="10" max="10"/>
    <col width="14" customWidth="1" min="11" max="11"/>
    <col width="16" customWidth="1" min="12" max="12"/>
    <col width="14" customWidth="1" min="13" max="13"/>
    <col width="12" customWidth="1" min="14" max="14"/>
    <col width="16" customWidth="1" min="15" max="15"/>
    <col width="12" customWidth="1" min="16" max="16"/>
    <col width="12" customWidth="1" min="17" max="17"/>
    <col width="14" customWidth="1" min="18" max="18"/>
    <col width="12" customWidth="1" min="19" max="19"/>
    <col width="24" customWidth="1" min="20" max="20"/>
  </cols>
  <sheetData>
    <row r="1" ht="32" customHeight="1">
      <c r="A1" s="9" t="inlineStr">
        <is>
          <t>Defect ID</t>
        </is>
      </c>
      <c r="B1" s="9" t="inlineStr">
        <is>
          <t>TC ID</t>
        </is>
      </c>
      <c r="C1" s="9" t="inlineStr">
        <is>
          <t>โมดูล</t>
        </is>
      </c>
      <c r="D1" s="9" t="inlineStr">
        <is>
          <t>หน้าจอ</t>
        </is>
      </c>
      <c r="E1" s="9" t="inlineStr">
        <is>
          <t>หัวข้อ Defect</t>
        </is>
      </c>
      <c r="F1" s="9" t="inlineStr">
        <is>
          <t>รายละเอียด</t>
        </is>
      </c>
      <c r="G1" s="9" t="inlineStr">
        <is>
          <t>ขั้นตอนการทำซ้ำ</t>
        </is>
      </c>
      <c r="H1" s="9" t="inlineStr">
        <is>
          <t>ผลที่คาดหวัง</t>
        </is>
      </c>
      <c r="I1" s="9" t="inlineStr">
        <is>
          <t>ผลที่เกิดขึ้นจริง</t>
        </is>
      </c>
      <c r="J1" s="9" t="inlineStr">
        <is>
          <t>ความรุนแรง (Severity)</t>
        </is>
      </c>
      <c r="K1" s="9" t="inlineStr">
        <is>
          <t>ความสำคัญในการแก้ (Priority)</t>
        </is>
      </c>
      <c r="L1" s="9" t="inlineStr">
        <is>
          <t>สถานะ Defect</t>
        </is>
      </c>
      <c r="M1" s="9" t="inlineStr">
        <is>
          <t>ผู้แจ้ง</t>
        </is>
      </c>
      <c r="N1" s="9" t="inlineStr">
        <is>
          <t>วันที่พบ</t>
        </is>
      </c>
      <c r="O1" s="9" t="inlineStr">
        <is>
          <t>ผู้รับผิดชอบแก้ไข</t>
        </is>
      </c>
      <c r="P1" s="9" t="inlineStr">
        <is>
          <t>วันที่กำหนดแก้</t>
        </is>
      </c>
      <c r="Q1" s="9" t="inlineStr">
        <is>
          <t>วันที่แก้ไขเสร็จ</t>
        </is>
      </c>
      <c r="R1" s="9" t="inlineStr">
        <is>
          <t>ผลทดสอบซ้ำ (Retest)</t>
        </is>
      </c>
      <c r="S1" s="9" t="inlineStr">
        <is>
          <t>วันที่ทดสอบซ้ำ</t>
        </is>
      </c>
      <c r="T1" s="9" t="inlineStr">
        <is>
          <t>หมายเหตุ/ไฟล์แนบ</t>
        </is>
      </c>
    </row>
    <row r="2" ht="30" customHeight="1">
      <c r="A2" s="10" t="inlineStr">
        <is>
          <t>DEF-001</t>
        </is>
      </c>
      <c r="B2" s="10" t="n"/>
      <c r="C2" s="5">
        <f>IF(B2="","",IFERROR(INDEX('Test Cases'!$B$2:$B$546,MATCH(B2,'Test Cases'!$A$2:$A$546,0)),""))</f>
        <v/>
      </c>
      <c r="D2" s="5">
        <f>IF(B2="","",IFERROR(INDEX('Test Cases'!$C$2:$C$546,MATCH(B2,'Test Cases'!$A$2:$A$546,0)),""))</f>
        <v/>
      </c>
      <c r="E2" s="5" t="n"/>
      <c r="F2" s="5" t="n"/>
      <c r="G2" s="5" t="n"/>
      <c r="H2" s="5" t="n"/>
      <c r="I2" s="5" t="n"/>
      <c r="J2" s="10" t="n"/>
      <c r="K2" s="10" t="n"/>
      <c r="L2" s="10" t="n"/>
      <c r="M2" s="5" t="n"/>
      <c r="N2" s="18" t="n"/>
      <c r="O2" s="5" t="n"/>
      <c r="P2" s="18" t="n"/>
      <c r="Q2" s="18" t="n"/>
      <c r="R2" s="10" t="n"/>
      <c r="S2" s="18" t="n"/>
      <c r="T2" s="5" t="n"/>
    </row>
    <row r="3" ht="30" customHeight="1">
      <c r="A3" s="10" t="inlineStr">
        <is>
          <t>DEF-002</t>
        </is>
      </c>
      <c r="B3" s="10" t="n"/>
      <c r="C3" s="5">
        <f>IF(B3="","",IFERROR(INDEX('Test Cases'!$B$2:$B$546,MATCH(B3,'Test Cases'!$A$2:$A$546,0)),""))</f>
        <v/>
      </c>
      <c r="D3" s="5">
        <f>IF(B3="","",IFERROR(INDEX('Test Cases'!$C$2:$C$546,MATCH(B3,'Test Cases'!$A$2:$A$546,0)),""))</f>
        <v/>
      </c>
      <c r="E3" s="5" t="n"/>
      <c r="F3" s="5" t="n"/>
      <c r="G3" s="5" t="n"/>
      <c r="H3" s="5" t="n"/>
      <c r="I3" s="5" t="n"/>
      <c r="J3" s="10" t="n"/>
      <c r="K3" s="10" t="n"/>
      <c r="L3" s="10" t="n"/>
      <c r="M3" s="5" t="n"/>
      <c r="N3" s="18" t="n"/>
      <c r="O3" s="5" t="n"/>
      <c r="P3" s="18" t="n"/>
      <c r="Q3" s="18" t="n"/>
      <c r="R3" s="10" t="n"/>
      <c r="S3" s="18" t="n"/>
      <c r="T3" s="5" t="n"/>
    </row>
    <row r="4" ht="30" customHeight="1">
      <c r="A4" s="10" t="inlineStr">
        <is>
          <t>DEF-003</t>
        </is>
      </c>
      <c r="B4" s="10" t="n"/>
      <c r="C4" s="5">
        <f>IF(B4="","",IFERROR(INDEX('Test Cases'!$B$2:$B$546,MATCH(B4,'Test Cases'!$A$2:$A$546,0)),""))</f>
        <v/>
      </c>
      <c r="D4" s="5">
        <f>IF(B4="","",IFERROR(INDEX('Test Cases'!$C$2:$C$546,MATCH(B4,'Test Cases'!$A$2:$A$546,0)),""))</f>
        <v/>
      </c>
      <c r="E4" s="5" t="n"/>
      <c r="F4" s="5" t="n"/>
      <c r="G4" s="5" t="n"/>
      <c r="H4" s="5" t="n"/>
      <c r="I4" s="5" t="n"/>
      <c r="J4" s="10" t="n"/>
      <c r="K4" s="10" t="n"/>
      <c r="L4" s="10" t="n"/>
      <c r="M4" s="5" t="n"/>
      <c r="N4" s="18" t="n"/>
      <c r="O4" s="5" t="n"/>
      <c r="P4" s="18" t="n"/>
      <c r="Q4" s="18" t="n"/>
      <c r="R4" s="10" t="n"/>
      <c r="S4" s="18" t="n"/>
      <c r="T4" s="5" t="n"/>
    </row>
    <row r="5" ht="30" customHeight="1">
      <c r="A5" s="10" t="inlineStr">
        <is>
          <t>DEF-004</t>
        </is>
      </c>
      <c r="B5" s="10" t="n"/>
      <c r="C5" s="5">
        <f>IF(B5="","",IFERROR(INDEX('Test Cases'!$B$2:$B$546,MATCH(B5,'Test Cases'!$A$2:$A$546,0)),""))</f>
        <v/>
      </c>
      <c r="D5" s="5">
        <f>IF(B5="","",IFERROR(INDEX('Test Cases'!$C$2:$C$546,MATCH(B5,'Test Cases'!$A$2:$A$546,0)),""))</f>
        <v/>
      </c>
      <c r="E5" s="5" t="n"/>
      <c r="F5" s="5" t="n"/>
      <c r="G5" s="5" t="n"/>
      <c r="H5" s="5" t="n"/>
      <c r="I5" s="5" t="n"/>
      <c r="J5" s="10" t="n"/>
      <c r="K5" s="10" t="n"/>
      <c r="L5" s="10" t="n"/>
      <c r="M5" s="5" t="n"/>
      <c r="N5" s="18" t="n"/>
      <c r="O5" s="5" t="n"/>
      <c r="P5" s="18" t="n"/>
      <c r="Q5" s="18" t="n"/>
      <c r="R5" s="10" t="n"/>
      <c r="S5" s="18" t="n"/>
      <c r="T5" s="5" t="n"/>
    </row>
    <row r="6" ht="30" customHeight="1">
      <c r="A6" s="10" t="inlineStr">
        <is>
          <t>DEF-005</t>
        </is>
      </c>
      <c r="B6" s="10" t="n"/>
      <c r="C6" s="5">
        <f>IF(B6="","",IFERROR(INDEX('Test Cases'!$B$2:$B$546,MATCH(B6,'Test Cases'!$A$2:$A$546,0)),""))</f>
        <v/>
      </c>
      <c r="D6" s="5">
        <f>IF(B6="","",IFERROR(INDEX('Test Cases'!$C$2:$C$546,MATCH(B6,'Test Cases'!$A$2:$A$546,0)),""))</f>
        <v/>
      </c>
      <c r="E6" s="5" t="n"/>
      <c r="F6" s="5" t="n"/>
      <c r="G6" s="5" t="n"/>
      <c r="H6" s="5" t="n"/>
      <c r="I6" s="5" t="n"/>
      <c r="J6" s="10" t="n"/>
      <c r="K6" s="10" t="n"/>
      <c r="L6" s="10" t="n"/>
      <c r="M6" s="5" t="n"/>
      <c r="N6" s="18" t="n"/>
      <c r="O6" s="5" t="n"/>
      <c r="P6" s="18" t="n"/>
      <c r="Q6" s="18" t="n"/>
      <c r="R6" s="10" t="n"/>
      <c r="S6" s="18" t="n"/>
      <c r="T6" s="5" t="n"/>
    </row>
    <row r="7" ht="30" customHeight="1">
      <c r="A7" s="10" t="inlineStr">
        <is>
          <t>DEF-006</t>
        </is>
      </c>
      <c r="B7" s="10" t="n"/>
      <c r="C7" s="5">
        <f>IF(B7="","",IFERROR(INDEX('Test Cases'!$B$2:$B$546,MATCH(B7,'Test Cases'!$A$2:$A$546,0)),""))</f>
        <v/>
      </c>
      <c r="D7" s="5">
        <f>IF(B7="","",IFERROR(INDEX('Test Cases'!$C$2:$C$546,MATCH(B7,'Test Cases'!$A$2:$A$546,0)),""))</f>
        <v/>
      </c>
      <c r="E7" s="5" t="n"/>
      <c r="F7" s="5" t="n"/>
      <c r="G7" s="5" t="n"/>
      <c r="H7" s="5" t="n"/>
      <c r="I7" s="5" t="n"/>
      <c r="J7" s="10" t="n"/>
      <c r="K7" s="10" t="n"/>
      <c r="L7" s="10" t="n"/>
      <c r="M7" s="5" t="n"/>
      <c r="N7" s="18" t="n"/>
      <c r="O7" s="5" t="n"/>
      <c r="P7" s="18" t="n"/>
      <c r="Q7" s="18" t="n"/>
      <c r="R7" s="10" t="n"/>
      <c r="S7" s="18" t="n"/>
      <c r="T7" s="5" t="n"/>
    </row>
    <row r="8" ht="30" customHeight="1">
      <c r="A8" s="10" t="inlineStr">
        <is>
          <t>DEF-007</t>
        </is>
      </c>
      <c r="B8" s="10" t="n"/>
      <c r="C8" s="5">
        <f>IF(B8="","",IFERROR(INDEX('Test Cases'!$B$2:$B$546,MATCH(B8,'Test Cases'!$A$2:$A$546,0)),""))</f>
        <v/>
      </c>
      <c r="D8" s="5">
        <f>IF(B8="","",IFERROR(INDEX('Test Cases'!$C$2:$C$546,MATCH(B8,'Test Cases'!$A$2:$A$546,0)),""))</f>
        <v/>
      </c>
      <c r="E8" s="5" t="n"/>
      <c r="F8" s="5" t="n"/>
      <c r="G8" s="5" t="n"/>
      <c r="H8" s="5" t="n"/>
      <c r="I8" s="5" t="n"/>
      <c r="J8" s="10" t="n"/>
      <c r="K8" s="10" t="n"/>
      <c r="L8" s="10" t="n"/>
      <c r="M8" s="5" t="n"/>
      <c r="N8" s="18" t="n"/>
      <c r="O8" s="5" t="n"/>
      <c r="P8" s="18" t="n"/>
      <c r="Q8" s="18" t="n"/>
      <c r="R8" s="10" t="n"/>
      <c r="S8" s="18" t="n"/>
      <c r="T8" s="5" t="n"/>
    </row>
    <row r="9" ht="30" customHeight="1">
      <c r="A9" s="10" t="inlineStr">
        <is>
          <t>DEF-008</t>
        </is>
      </c>
      <c r="B9" s="10" t="n"/>
      <c r="C9" s="5">
        <f>IF(B9="","",IFERROR(INDEX('Test Cases'!$B$2:$B$546,MATCH(B9,'Test Cases'!$A$2:$A$546,0)),""))</f>
        <v/>
      </c>
      <c r="D9" s="5">
        <f>IF(B9="","",IFERROR(INDEX('Test Cases'!$C$2:$C$546,MATCH(B9,'Test Cases'!$A$2:$A$546,0)),""))</f>
        <v/>
      </c>
      <c r="E9" s="5" t="n"/>
      <c r="F9" s="5" t="n"/>
      <c r="G9" s="5" t="n"/>
      <c r="H9" s="5" t="n"/>
      <c r="I9" s="5" t="n"/>
      <c r="J9" s="10" t="n"/>
      <c r="K9" s="10" t="n"/>
      <c r="L9" s="10" t="n"/>
      <c r="M9" s="5" t="n"/>
      <c r="N9" s="18" t="n"/>
      <c r="O9" s="5" t="n"/>
      <c r="P9" s="18" t="n"/>
      <c r="Q9" s="18" t="n"/>
      <c r="R9" s="10" t="n"/>
      <c r="S9" s="18" t="n"/>
      <c r="T9" s="5" t="n"/>
    </row>
    <row r="10" ht="30" customHeight="1">
      <c r="A10" s="10" t="inlineStr">
        <is>
          <t>DEF-009</t>
        </is>
      </c>
      <c r="B10" s="10" t="n"/>
      <c r="C10" s="5">
        <f>IF(B10="","",IFERROR(INDEX('Test Cases'!$B$2:$B$546,MATCH(B10,'Test Cases'!$A$2:$A$546,0)),""))</f>
        <v/>
      </c>
      <c r="D10" s="5">
        <f>IF(B10="","",IFERROR(INDEX('Test Cases'!$C$2:$C$546,MATCH(B10,'Test Cases'!$A$2:$A$546,0)),""))</f>
        <v/>
      </c>
      <c r="E10" s="5" t="n"/>
      <c r="F10" s="5" t="n"/>
      <c r="G10" s="5" t="n"/>
      <c r="H10" s="5" t="n"/>
      <c r="I10" s="5" t="n"/>
      <c r="J10" s="10" t="n"/>
      <c r="K10" s="10" t="n"/>
      <c r="L10" s="10" t="n"/>
      <c r="M10" s="5" t="n"/>
      <c r="N10" s="18" t="n"/>
      <c r="O10" s="5" t="n"/>
      <c r="P10" s="18" t="n"/>
      <c r="Q10" s="18" t="n"/>
      <c r="R10" s="10" t="n"/>
      <c r="S10" s="18" t="n"/>
      <c r="T10" s="5" t="n"/>
    </row>
    <row r="11" ht="30" customHeight="1">
      <c r="A11" s="10" t="inlineStr">
        <is>
          <t>DEF-010</t>
        </is>
      </c>
      <c r="B11" s="10" t="n"/>
      <c r="C11" s="5">
        <f>IF(B11="","",IFERROR(INDEX('Test Cases'!$B$2:$B$546,MATCH(B11,'Test Cases'!$A$2:$A$546,0)),""))</f>
        <v/>
      </c>
      <c r="D11" s="5">
        <f>IF(B11="","",IFERROR(INDEX('Test Cases'!$C$2:$C$546,MATCH(B11,'Test Cases'!$A$2:$A$546,0)),""))</f>
        <v/>
      </c>
      <c r="E11" s="5" t="n"/>
      <c r="F11" s="5" t="n"/>
      <c r="G11" s="5" t="n"/>
      <c r="H11" s="5" t="n"/>
      <c r="I11" s="5" t="n"/>
      <c r="J11" s="10" t="n"/>
      <c r="K11" s="10" t="n"/>
      <c r="L11" s="10" t="n"/>
      <c r="M11" s="5" t="n"/>
      <c r="N11" s="18" t="n"/>
      <c r="O11" s="5" t="n"/>
      <c r="P11" s="18" t="n"/>
      <c r="Q11" s="18" t="n"/>
      <c r="R11" s="10" t="n"/>
      <c r="S11" s="18" t="n"/>
      <c r="T11" s="5" t="n"/>
    </row>
    <row r="12" ht="30" customHeight="1">
      <c r="A12" s="10" t="inlineStr">
        <is>
          <t>DEF-011</t>
        </is>
      </c>
      <c r="B12" s="10" t="n"/>
      <c r="C12" s="5">
        <f>IF(B12="","",IFERROR(INDEX('Test Cases'!$B$2:$B$546,MATCH(B12,'Test Cases'!$A$2:$A$546,0)),""))</f>
        <v/>
      </c>
      <c r="D12" s="5">
        <f>IF(B12="","",IFERROR(INDEX('Test Cases'!$C$2:$C$546,MATCH(B12,'Test Cases'!$A$2:$A$546,0)),""))</f>
        <v/>
      </c>
      <c r="E12" s="5" t="n"/>
      <c r="F12" s="5" t="n"/>
      <c r="G12" s="5" t="n"/>
      <c r="H12" s="5" t="n"/>
      <c r="I12" s="5" t="n"/>
      <c r="J12" s="10" t="n"/>
      <c r="K12" s="10" t="n"/>
      <c r="L12" s="10" t="n"/>
      <c r="M12" s="5" t="n"/>
      <c r="N12" s="18" t="n"/>
      <c r="O12" s="5" t="n"/>
      <c r="P12" s="18" t="n"/>
      <c r="Q12" s="18" t="n"/>
      <c r="R12" s="10" t="n"/>
      <c r="S12" s="18" t="n"/>
      <c r="T12" s="5" t="n"/>
    </row>
    <row r="13" ht="30" customHeight="1">
      <c r="A13" s="10" t="inlineStr">
        <is>
          <t>DEF-012</t>
        </is>
      </c>
      <c r="B13" s="10" t="n"/>
      <c r="C13" s="5">
        <f>IF(B13="","",IFERROR(INDEX('Test Cases'!$B$2:$B$546,MATCH(B13,'Test Cases'!$A$2:$A$546,0)),""))</f>
        <v/>
      </c>
      <c r="D13" s="5">
        <f>IF(B13="","",IFERROR(INDEX('Test Cases'!$C$2:$C$546,MATCH(B13,'Test Cases'!$A$2:$A$546,0)),""))</f>
        <v/>
      </c>
      <c r="E13" s="5" t="n"/>
      <c r="F13" s="5" t="n"/>
      <c r="G13" s="5" t="n"/>
      <c r="H13" s="5" t="n"/>
      <c r="I13" s="5" t="n"/>
      <c r="J13" s="10" t="n"/>
      <c r="K13" s="10" t="n"/>
      <c r="L13" s="10" t="n"/>
      <c r="M13" s="5" t="n"/>
      <c r="N13" s="18" t="n"/>
      <c r="O13" s="5" t="n"/>
      <c r="P13" s="18" t="n"/>
      <c r="Q13" s="18" t="n"/>
      <c r="R13" s="10" t="n"/>
      <c r="S13" s="18" t="n"/>
      <c r="T13" s="5" t="n"/>
    </row>
    <row r="14" ht="30" customHeight="1">
      <c r="A14" s="10" t="inlineStr">
        <is>
          <t>DEF-013</t>
        </is>
      </c>
      <c r="B14" s="10" t="n"/>
      <c r="C14" s="5">
        <f>IF(B14="","",IFERROR(INDEX('Test Cases'!$B$2:$B$546,MATCH(B14,'Test Cases'!$A$2:$A$546,0)),""))</f>
        <v/>
      </c>
      <c r="D14" s="5">
        <f>IF(B14="","",IFERROR(INDEX('Test Cases'!$C$2:$C$546,MATCH(B14,'Test Cases'!$A$2:$A$546,0)),""))</f>
        <v/>
      </c>
      <c r="E14" s="5" t="n"/>
      <c r="F14" s="5" t="n"/>
      <c r="G14" s="5" t="n"/>
      <c r="H14" s="5" t="n"/>
      <c r="I14" s="5" t="n"/>
      <c r="J14" s="10" t="n"/>
      <c r="K14" s="10" t="n"/>
      <c r="L14" s="10" t="n"/>
      <c r="M14" s="5" t="n"/>
      <c r="N14" s="18" t="n"/>
      <c r="O14" s="5" t="n"/>
      <c r="P14" s="18" t="n"/>
      <c r="Q14" s="18" t="n"/>
      <c r="R14" s="10" t="n"/>
      <c r="S14" s="18" t="n"/>
      <c r="T14" s="5" t="n"/>
    </row>
    <row r="15" ht="30" customHeight="1">
      <c r="A15" s="10" t="inlineStr">
        <is>
          <t>DEF-014</t>
        </is>
      </c>
      <c r="B15" s="10" t="n"/>
      <c r="C15" s="5">
        <f>IF(B15="","",IFERROR(INDEX('Test Cases'!$B$2:$B$546,MATCH(B15,'Test Cases'!$A$2:$A$546,0)),""))</f>
        <v/>
      </c>
      <c r="D15" s="5">
        <f>IF(B15="","",IFERROR(INDEX('Test Cases'!$C$2:$C$546,MATCH(B15,'Test Cases'!$A$2:$A$546,0)),""))</f>
        <v/>
      </c>
      <c r="E15" s="5" t="n"/>
      <c r="F15" s="5" t="n"/>
      <c r="G15" s="5" t="n"/>
      <c r="H15" s="5" t="n"/>
      <c r="I15" s="5" t="n"/>
      <c r="J15" s="10" t="n"/>
      <c r="K15" s="10" t="n"/>
      <c r="L15" s="10" t="n"/>
      <c r="M15" s="5" t="n"/>
      <c r="N15" s="18" t="n"/>
      <c r="O15" s="5" t="n"/>
      <c r="P15" s="18" t="n"/>
      <c r="Q15" s="18" t="n"/>
      <c r="R15" s="10" t="n"/>
      <c r="S15" s="18" t="n"/>
      <c r="T15" s="5" t="n"/>
    </row>
    <row r="16" ht="30" customHeight="1">
      <c r="A16" s="10" t="inlineStr">
        <is>
          <t>DEF-015</t>
        </is>
      </c>
      <c r="B16" s="10" t="n"/>
      <c r="C16" s="5">
        <f>IF(B16="","",IFERROR(INDEX('Test Cases'!$B$2:$B$546,MATCH(B16,'Test Cases'!$A$2:$A$546,0)),""))</f>
        <v/>
      </c>
      <c r="D16" s="5">
        <f>IF(B16="","",IFERROR(INDEX('Test Cases'!$C$2:$C$546,MATCH(B16,'Test Cases'!$A$2:$A$546,0)),""))</f>
        <v/>
      </c>
      <c r="E16" s="5" t="n"/>
      <c r="F16" s="5" t="n"/>
      <c r="G16" s="5" t="n"/>
      <c r="H16" s="5" t="n"/>
      <c r="I16" s="5" t="n"/>
      <c r="J16" s="10" t="n"/>
      <c r="K16" s="10" t="n"/>
      <c r="L16" s="10" t="n"/>
      <c r="M16" s="5" t="n"/>
      <c r="N16" s="18" t="n"/>
      <c r="O16" s="5" t="n"/>
      <c r="P16" s="18" t="n"/>
      <c r="Q16" s="18" t="n"/>
      <c r="R16" s="10" t="n"/>
      <c r="S16" s="18" t="n"/>
      <c r="T16" s="5" t="n"/>
    </row>
    <row r="17" ht="30" customHeight="1">
      <c r="A17" s="10" t="inlineStr">
        <is>
          <t>DEF-016</t>
        </is>
      </c>
      <c r="B17" s="10" t="n"/>
      <c r="C17" s="5">
        <f>IF(B17="","",IFERROR(INDEX('Test Cases'!$B$2:$B$546,MATCH(B17,'Test Cases'!$A$2:$A$546,0)),""))</f>
        <v/>
      </c>
      <c r="D17" s="5">
        <f>IF(B17="","",IFERROR(INDEX('Test Cases'!$C$2:$C$546,MATCH(B17,'Test Cases'!$A$2:$A$546,0)),""))</f>
        <v/>
      </c>
      <c r="E17" s="5" t="n"/>
      <c r="F17" s="5" t="n"/>
      <c r="G17" s="5" t="n"/>
      <c r="H17" s="5" t="n"/>
      <c r="I17" s="5" t="n"/>
      <c r="J17" s="10" t="n"/>
      <c r="K17" s="10" t="n"/>
      <c r="L17" s="10" t="n"/>
      <c r="M17" s="5" t="n"/>
      <c r="N17" s="18" t="n"/>
      <c r="O17" s="5" t="n"/>
      <c r="P17" s="18" t="n"/>
      <c r="Q17" s="18" t="n"/>
      <c r="R17" s="10" t="n"/>
      <c r="S17" s="18" t="n"/>
      <c r="T17" s="5" t="n"/>
    </row>
    <row r="18" ht="30" customHeight="1">
      <c r="A18" s="10" t="inlineStr">
        <is>
          <t>DEF-017</t>
        </is>
      </c>
      <c r="B18" s="10" t="n"/>
      <c r="C18" s="5">
        <f>IF(B18="","",IFERROR(INDEX('Test Cases'!$B$2:$B$546,MATCH(B18,'Test Cases'!$A$2:$A$546,0)),""))</f>
        <v/>
      </c>
      <c r="D18" s="5">
        <f>IF(B18="","",IFERROR(INDEX('Test Cases'!$C$2:$C$546,MATCH(B18,'Test Cases'!$A$2:$A$546,0)),""))</f>
        <v/>
      </c>
      <c r="E18" s="5" t="n"/>
      <c r="F18" s="5" t="n"/>
      <c r="G18" s="5" t="n"/>
      <c r="H18" s="5" t="n"/>
      <c r="I18" s="5" t="n"/>
      <c r="J18" s="10" t="n"/>
      <c r="K18" s="10" t="n"/>
      <c r="L18" s="10" t="n"/>
      <c r="M18" s="5" t="n"/>
      <c r="N18" s="18" t="n"/>
      <c r="O18" s="5" t="n"/>
      <c r="P18" s="18" t="n"/>
      <c r="Q18" s="18" t="n"/>
      <c r="R18" s="10" t="n"/>
      <c r="S18" s="18" t="n"/>
      <c r="T18" s="5" t="n"/>
    </row>
    <row r="19" ht="30" customHeight="1">
      <c r="A19" s="10" t="inlineStr">
        <is>
          <t>DEF-018</t>
        </is>
      </c>
      <c r="B19" s="10" t="n"/>
      <c r="C19" s="5">
        <f>IF(B19="","",IFERROR(INDEX('Test Cases'!$B$2:$B$546,MATCH(B19,'Test Cases'!$A$2:$A$546,0)),""))</f>
        <v/>
      </c>
      <c r="D19" s="5">
        <f>IF(B19="","",IFERROR(INDEX('Test Cases'!$C$2:$C$546,MATCH(B19,'Test Cases'!$A$2:$A$546,0)),""))</f>
        <v/>
      </c>
      <c r="E19" s="5" t="n"/>
      <c r="F19" s="5" t="n"/>
      <c r="G19" s="5" t="n"/>
      <c r="H19" s="5" t="n"/>
      <c r="I19" s="5" t="n"/>
      <c r="J19" s="10" t="n"/>
      <c r="K19" s="10" t="n"/>
      <c r="L19" s="10" t="n"/>
      <c r="M19" s="5" t="n"/>
      <c r="N19" s="18" t="n"/>
      <c r="O19" s="5" t="n"/>
      <c r="P19" s="18" t="n"/>
      <c r="Q19" s="18" t="n"/>
      <c r="R19" s="10" t="n"/>
      <c r="S19" s="18" t="n"/>
      <c r="T19" s="5" t="n"/>
    </row>
    <row r="20" ht="30" customHeight="1">
      <c r="A20" s="10" t="inlineStr">
        <is>
          <t>DEF-019</t>
        </is>
      </c>
      <c r="B20" s="10" t="n"/>
      <c r="C20" s="5">
        <f>IF(B20="","",IFERROR(INDEX('Test Cases'!$B$2:$B$546,MATCH(B20,'Test Cases'!$A$2:$A$546,0)),""))</f>
        <v/>
      </c>
      <c r="D20" s="5">
        <f>IF(B20="","",IFERROR(INDEX('Test Cases'!$C$2:$C$546,MATCH(B20,'Test Cases'!$A$2:$A$546,0)),""))</f>
        <v/>
      </c>
      <c r="E20" s="5" t="n"/>
      <c r="F20" s="5" t="n"/>
      <c r="G20" s="5" t="n"/>
      <c r="H20" s="5" t="n"/>
      <c r="I20" s="5" t="n"/>
      <c r="J20" s="10" t="n"/>
      <c r="K20" s="10" t="n"/>
      <c r="L20" s="10" t="n"/>
      <c r="M20" s="5" t="n"/>
      <c r="N20" s="18" t="n"/>
      <c r="O20" s="5" t="n"/>
      <c r="P20" s="18" t="n"/>
      <c r="Q20" s="18" t="n"/>
      <c r="R20" s="10" t="n"/>
      <c r="S20" s="18" t="n"/>
      <c r="T20" s="5" t="n"/>
    </row>
    <row r="21" ht="30" customHeight="1">
      <c r="A21" s="10" t="inlineStr">
        <is>
          <t>DEF-020</t>
        </is>
      </c>
      <c r="B21" s="10" t="n"/>
      <c r="C21" s="5">
        <f>IF(B21="","",IFERROR(INDEX('Test Cases'!$B$2:$B$546,MATCH(B21,'Test Cases'!$A$2:$A$546,0)),""))</f>
        <v/>
      </c>
      <c r="D21" s="5">
        <f>IF(B21="","",IFERROR(INDEX('Test Cases'!$C$2:$C$546,MATCH(B21,'Test Cases'!$A$2:$A$546,0)),""))</f>
        <v/>
      </c>
      <c r="E21" s="5" t="n"/>
      <c r="F21" s="5" t="n"/>
      <c r="G21" s="5" t="n"/>
      <c r="H21" s="5" t="n"/>
      <c r="I21" s="5" t="n"/>
      <c r="J21" s="10" t="n"/>
      <c r="K21" s="10" t="n"/>
      <c r="L21" s="10" t="n"/>
      <c r="M21" s="5" t="n"/>
      <c r="N21" s="18" t="n"/>
      <c r="O21" s="5" t="n"/>
      <c r="P21" s="18" t="n"/>
      <c r="Q21" s="18" t="n"/>
      <c r="R21" s="10" t="n"/>
      <c r="S21" s="18" t="n"/>
      <c r="T21" s="5" t="n"/>
    </row>
    <row r="22" ht="30" customHeight="1">
      <c r="A22" s="10" t="inlineStr">
        <is>
          <t>DEF-021</t>
        </is>
      </c>
      <c r="B22" s="10" t="n"/>
      <c r="C22" s="5">
        <f>IF(B22="","",IFERROR(INDEX('Test Cases'!$B$2:$B$546,MATCH(B22,'Test Cases'!$A$2:$A$546,0)),""))</f>
        <v/>
      </c>
      <c r="D22" s="5">
        <f>IF(B22="","",IFERROR(INDEX('Test Cases'!$C$2:$C$546,MATCH(B22,'Test Cases'!$A$2:$A$546,0)),""))</f>
        <v/>
      </c>
      <c r="E22" s="5" t="n"/>
      <c r="F22" s="5" t="n"/>
      <c r="G22" s="5" t="n"/>
      <c r="H22" s="5" t="n"/>
      <c r="I22" s="5" t="n"/>
      <c r="J22" s="10" t="n"/>
      <c r="K22" s="10" t="n"/>
      <c r="L22" s="10" t="n"/>
      <c r="M22" s="5" t="n"/>
      <c r="N22" s="18" t="n"/>
      <c r="O22" s="5" t="n"/>
      <c r="P22" s="18" t="n"/>
      <c r="Q22" s="18" t="n"/>
      <c r="R22" s="10" t="n"/>
      <c r="S22" s="18" t="n"/>
      <c r="T22" s="5" t="n"/>
    </row>
    <row r="23" ht="30" customHeight="1">
      <c r="A23" s="10" t="inlineStr">
        <is>
          <t>DEF-022</t>
        </is>
      </c>
      <c r="B23" s="10" t="n"/>
      <c r="C23" s="5">
        <f>IF(B23="","",IFERROR(INDEX('Test Cases'!$B$2:$B$546,MATCH(B23,'Test Cases'!$A$2:$A$546,0)),""))</f>
        <v/>
      </c>
      <c r="D23" s="5">
        <f>IF(B23="","",IFERROR(INDEX('Test Cases'!$C$2:$C$546,MATCH(B23,'Test Cases'!$A$2:$A$546,0)),""))</f>
        <v/>
      </c>
      <c r="E23" s="5" t="n"/>
      <c r="F23" s="5" t="n"/>
      <c r="G23" s="5" t="n"/>
      <c r="H23" s="5" t="n"/>
      <c r="I23" s="5" t="n"/>
      <c r="J23" s="10" t="n"/>
      <c r="K23" s="10" t="n"/>
      <c r="L23" s="10" t="n"/>
      <c r="M23" s="5" t="n"/>
      <c r="N23" s="18" t="n"/>
      <c r="O23" s="5" t="n"/>
      <c r="P23" s="18" t="n"/>
      <c r="Q23" s="18" t="n"/>
      <c r="R23" s="10" t="n"/>
      <c r="S23" s="18" t="n"/>
      <c r="T23" s="5" t="n"/>
    </row>
    <row r="24" ht="30" customHeight="1">
      <c r="A24" s="10" t="inlineStr">
        <is>
          <t>DEF-023</t>
        </is>
      </c>
      <c r="B24" s="10" t="n"/>
      <c r="C24" s="5">
        <f>IF(B24="","",IFERROR(INDEX('Test Cases'!$B$2:$B$546,MATCH(B24,'Test Cases'!$A$2:$A$546,0)),""))</f>
        <v/>
      </c>
      <c r="D24" s="5">
        <f>IF(B24="","",IFERROR(INDEX('Test Cases'!$C$2:$C$546,MATCH(B24,'Test Cases'!$A$2:$A$546,0)),""))</f>
        <v/>
      </c>
      <c r="E24" s="5" t="n"/>
      <c r="F24" s="5" t="n"/>
      <c r="G24" s="5" t="n"/>
      <c r="H24" s="5" t="n"/>
      <c r="I24" s="5" t="n"/>
      <c r="J24" s="10" t="n"/>
      <c r="K24" s="10" t="n"/>
      <c r="L24" s="10" t="n"/>
      <c r="M24" s="5" t="n"/>
      <c r="N24" s="18" t="n"/>
      <c r="O24" s="5" t="n"/>
      <c r="P24" s="18" t="n"/>
      <c r="Q24" s="18" t="n"/>
      <c r="R24" s="10" t="n"/>
      <c r="S24" s="18" t="n"/>
      <c r="T24" s="5" t="n"/>
    </row>
    <row r="25" ht="30" customHeight="1">
      <c r="A25" s="10" t="inlineStr">
        <is>
          <t>DEF-024</t>
        </is>
      </c>
      <c r="B25" s="10" t="n"/>
      <c r="C25" s="5">
        <f>IF(B25="","",IFERROR(INDEX('Test Cases'!$B$2:$B$546,MATCH(B25,'Test Cases'!$A$2:$A$546,0)),""))</f>
        <v/>
      </c>
      <c r="D25" s="5">
        <f>IF(B25="","",IFERROR(INDEX('Test Cases'!$C$2:$C$546,MATCH(B25,'Test Cases'!$A$2:$A$546,0)),""))</f>
        <v/>
      </c>
      <c r="E25" s="5" t="n"/>
      <c r="F25" s="5" t="n"/>
      <c r="G25" s="5" t="n"/>
      <c r="H25" s="5" t="n"/>
      <c r="I25" s="5" t="n"/>
      <c r="J25" s="10" t="n"/>
      <c r="K25" s="10" t="n"/>
      <c r="L25" s="10" t="n"/>
      <c r="M25" s="5" t="n"/>
      <c r="N25" s="18" t="n"/>
      <c r="O25" s="5" t="n"/>
      <c r="P25" s="18" t="n"/>
      <c r="Q25" s="18" t="n"/>
      <c r="R25" s="10" t="n"/>
      <c r="S25" s="18" t="n"/>
      <c r="T25" s="5" t="n"/>
    </row>
    <row r="26" ht="30" customHeight="1">
      <c r="A26" s="10" t="inlineStr">
        <is>
          <t>DEF-025</t>
        </is>
      </c>
      <c r="B26" s="10" t="n"/>
      <c r="C26" s="5">
        <f>IF(B26="","",IFERROR(INDEX('Test Cases'!$B$2:$B$546,MATCH(B26,'Test Cases'!$A$2:$A$546,0)),""))</f>
        <v/>
      </c>
      <c r="D26" s="5">
        <f>IF(B26="","",IFERROR(INDEX('Test Cases'!$C$2:$C$546,MATCH(B26,'Test Cases'!$A$2:$A$546,0)),""))</f>
        <v/>
      </c>
      <c r="E26" s="5" t="n"/>
      <c r="F26" s="5" t="n"/>
      <c r="G26" s="5" t="n"/>
      <c r="H26" s="5" t="n"/>
      <c r="I26" s="5" t="n"/>
      <c r="J26" s="10" t="n"/>
      <c r="K26" s="10" t="n"/>
      <c r="L26" s="10" t="n"/>
      <c r="M26" s="5" t="n"/>
      <c r="N26" s="18" t="n"/>
      <c r="O26" s="5" t="n"/>
      <c r="P26" s="18" t="n"/>
      <c r="Q26" s="18" t="n"/>
      <c r="R26" s="10" t="n"/>
      <c r="S26" s="18" t="n"/>
      <c r="T26" s="5" t="n"/>
    </row>
    <row r="27" ht="30" customHeight="1">
      <c r="A27" s="10" t="inlineStr">
        <is>
          <t>DEF-026</t>
        </is>
      </c>
      <c r="B27" s="10" t="n"/>
      <c r="C27" s="5">
        <f>IF(B27="","",IFERROR(INDEX('Test Cases'!$B$2:$B$546,MATCH(B27,'Test Cases'!$A$2:$A$546,0)),""))</f>
        <v/>
      </c>
      <c r="D27" s="5">
        <f>IF(B27="","",IFERROR(INDEX('Test Cases'!$C$2:$C$546,MATCH(B27,'Test Cases'!$A$2:$A$546,0)),""))</f>
        <v/>
      </c>
      <c r="E27" s="5" t="n"/>
      <c r="F27" s="5" t="n"/>
      <c r="G27" s="5" t="n"/>
      <c r="H27" s="5" t="n"/>
      <c r="I27" s="5" t="n"/>
      <c r="J27" s="10" t="n"/>
      <c r="K27" s="10" t="n"/>
      <c r="L27" s="10" t="n"/>
      <c r="M27" s="5" t="n"/>
      <c r="N27" s="18" t="n"/>
      <c r="O27" s="5" t="n"/>
      <c r="P27" s="18" t="n"/>
      <c r="Q27" s="18" t="n"/>
      <c r="R27" s="10" t="n"/>
      <c r="S27" s="18" t="n"/>
      <c r="T27" s="5" t="n"/>
    </row>
    <row r="28" ht="30" customHeight="1">
      <c r="A28" s="10" t="inlineStr">
        <is>
          <t>DEF-027</t>
        </is>
      </c>
      <c r="B28" s="10" t="n"/>
      <c r="C28" s="5">
        <f>IF(B28="","",IFERROR(INDEX('Test Cases'!$B$2:$B$546,MATCH(B28,'Test Cases'!$A$2:$A$546,0)),""))</f>
        <v/>
      </c>
      <c r="D28" s="5">
        <f>IF(B28="","",IFERROR(INDEX('Test Cases'!$C$2:$C$546,MATCH(B28,'Test Cases'!$A$2:$A$546,0)),""))</f>
        <v/>
      </c>
      <c r="E28" s="5" t="n"/>
      <c r="F28" s="5" t="n"/>
      <c r="G28" s="5" t="n"/>
      <c r="H28" s="5" t="n"/>
      <c r="I28" s="5" t="n"/>
      <c r="J28" s="10" t="n"/>
      <c r="K28" s="10" t="n"/>
      <c r="L28" s="10" t="n"/>
      <c r="M28" s="5" t="n"/>
      <c r="N28" s="18" t="n"/>
      <c r="O28" s="5" t="n"/>
      <c r="P28" s="18" t="n"/>
      <c r="Q28" s="18" t="n"/>
      <c r="R28" s="10" t="n"/>
      <c r="S28" s="18" t="n"/>
      <c r="T28" s="5" t="n"/>
    </row>
    <row r="29" ht="30" customHeight="1">
      <c r="A29" s="10" t="inlineStr">
        <is>
          <t>DEF-028</t>
        </is>
      </c>
      <c r="B29" s="10" t="n"/>
      <c r="C29" s="5">
        <f>IF(B29="","",IFERROR(INDEX('Test Cases'!$B$2:$B$546,MATCH(B29,'Test Cases'!$A$2:$A$546,0)),""))</f>
        <v/>
      </c>
      <c r="D29" s="5">
        <f>IF(B29="","",IFERROR(INDEX('Test Cases'!$C$2:$C$546,MATCH(B29,'Test Cases'!$A$2:$A$546,0)),""))</f>
        <v/>
      </c>
      <c r="E29" s="5" t="n"/>
      <c r="F29" s="5" t="n"/>
      <c r="G29" s="5" t="n"/>
      <c r="H29" s="5" t="n"/>
      <c r="I29" s="5" t="n"/>
      <c r="J29" s="10" t="n"/>
      <c r="K29" s="10" t="n"/>
      <c r="L29" s="10" t="n"/>
      <c r="M29" s="5" t="n"/>
      <c r="N29" s="18" t="n"/>
      <c r="O29" s="5" t="n"/>
      <c r="P29" s="18" t="n"/>
      <c r="Q29" s="18" t="n"/>
      <c r="R29" s="10" t="n"/>
      <c r="S29" s="18" t="n"/>
      <c r="T29" s="5" t="n"/>
    </row>
    <row r="30" ht="30" customHeight="1">
      <c r="A30" s="10" t="inlineStr">
        <is>
          <t>DEF-029</t>
        </is>
      </c>
      <c r="B30" s="10" t="n"/>
      <c r="C30" s="5">
        <f>IF(B30="","",IFERROR(INDEX('Test Cases'!$B$2:$B$546,MATCH(B30,'Test Cases'!$A$2:$A$546,0)),""))</f>
        <v/>
      </c>
      <c r="D30" s="5">
        <f>IF(B30="","",IFERROR(INDEX('Test Cases'!$C$2:$C$546,MATCH(B30,'Test Cases'!$A$2:$A$546,0)),""))</f>
        <v/>
      </c>
      <c r="E30" s="5" t="n"/>
      <c r="F30" s="5" t="n"/>
      <c r="G30" s="5" t="n"/>
      <c r="H30" s="5" t="n"/>
      <c r="I30" s="5" t="n"/>
      <c r="J30" s="10" t="n"/>
      <c r="K30" s="10" t="n"/>
      <c r="L30" s="10" t="n"/>
      <c r="M30" s="5" t="n"/>
      <c r="N30" s="18" t="n"/>
      <c r="O30" s="5" t="n"/>
      <c r="P30" s="18" t="n"/>
      <c r="Q30" s="18" t="n"/>
      <c r="R30" s="10" t="n"/>
      <c r="S30" s="18" t="n"/>
      <c r="T30" s="5" t="n"/>
    </row>
    <row r="31" ht="30" customHeight="1">
      <c r="A31" s="10" t="inlineStr">
        <is>
          <t>DEF-030</t>
        </is>
      </c>
      <c r="B31" s="10" t="n"/>
      <c r="C31" s="5">
        <f>IF(B31="","",IFERROR(INDEX('Test Cases'!$B$2:$B$546,MATCH(B31,'Test Cases'!$A$2:$A$546,0)),""))</f>
        <v/>
      </c>
      <c r="D31" s="5">
        <f>IF(B31="","",IFERROR(INDEX('Test Cases'!$C$2:$C$546,MATCH(B31,'Test Cases'!$A$2:$A$546,0)),""))</f>
        <v/>
      </c>
      <c r="E31" s="5" t="n"/>
      <c r="F31" s="5" t="n"/>
      <c r="G31" s="5" t="n"/>
      <c r="H31" s="5" t="n"/>
      <c r="I31" s="5" t="n"/>
      <c r="J31" s="10" t="n"/>
      <c r="K31" s="10" t="n"/>
      <c r="L31" s="10" t="n"/>
      <c r="M31" s="5" t="n"/>
      <c r="N31" s="18" t="n"/>
      <c r="O31" s="5" t="n"/>
      <c r="P31" s="18" t="n"/>
      <c r="Q31" s="18" t="n"/>
      <c r="R31" s="10" t="n"/>
      <c r="S31" s="18" t="n"/>
      <c r="T31" s="5" t="n"/>
    </row>
    <row r="32" ht="30" customHeight="1">
      <c r="A32" s="10" t="inlineStr">
        <is>
          <t>DEF-031</t>
        </is>
      </c>
      <c r="B32" s="10" t="n"/>
      <c r="C32" s="5">
        <f>IF(B32="","",IFERROR(INDEX('Test Cases'!$B$2:$B$546,MATCH(B32,'Test Cases'!$A$2:$A$546,0)),""))</f>
        <v/>
      </c>
      <c r="D32" s="5">
        <f>IF(B32="","",IFERROR(INDEX('Test Cases'!$C$2:$C$546,MATCH(B32,'Test Cases'!$A$2:$A$546,0)),""))</f>
        <v/>
      </c>
      <c r="E32" s="5" t="n"/>
      <c r="F32" s="5" t="n"/>
      <c r="G32" s="5" t="n"/>
      <c r="H32" s="5" t="n"/>
      <c r="I32" s="5" t="n"/>
      <c r="J32" s="10" t="n"/>
      <c r="K32" s="10" t="n"/>
      <c r="L32" s="10" t="n"/>
      <c r="M32" s="5" t="n"/>
      <c r="N32" s="18" t="n"/>
      <c r="O32" s="5" t="n"/>
      <c r="P32" s="18" t="n"/>
      <c r="Q32" s="18" t="n"/>
      <c r="R32" s="10" t="n"/>
      <c r="S32" s="18" t="n"/>
      <c r="T32" s="5" t="n"/>
    </row>
    <row r="33" ht="30" customHeight="1">
      <c r="A33" s="10" t="inlineStr">
        <is>
          <t>DEF-032</t>
        </is>
      </c>
      <c r="B33" s="10" t="n"/>
      <c r="C33" s="5">
        <f>IF(B33="","",IFERROR(INDEX('Test Cases'!$B$2:$B$546,MATCH(B33,'Test Cases'!$A$2:$A$546,0)),""))</f>
        <v/>
      </c>
      <c r="D33" s="5">
        <f>IF(B33="","",IFERROR(INDEX('Test Cases'!$C$2:$C$546,MATCH(B33,'Test Cases'!$A$2:$A$546,0)),""))</f>
        <v/>
      </c>
      <c r="E33" s="5" t="n"/>
      <c r="F33" s="5" t="n"/>
      <c r="G33" s="5" t="n"/>
      <c r="H33" s="5" t="n"/>
      <c r="I33" s="5" t="n"/>
      <c r="J33" s="10" t="n"/>
      <c r="K33" s="10" t="n"/>
      <c r="L33" s="10" t="n"/>
      <c r="M33" s="5" t="n"/>
      <c r="N33" s="18" t="n"/>
      <c r="O33" s="5" t="n"/>
      <c r="P33" s="18" t="n"/>
      <c r="Q33" s="18" t="n"/>
      <c r="R33" s="10" t="n"/>
      <c r="S33" s="18" t="n"/>
      <c r="T33" s="5" t="n"/>
    </row>
    <row r="34" ht="30" customHeight="1">
      <c r="A34" s="10" t="inlineStr">
        <is>
          <t>DEF-033</t>
        </is>
      </c>
      <c r="B34" s="10" t="n"/>
      <c r="C34" s="5">
        <f>IF(B34="","",IFERROR(INDEX('Test Cases'!$B$2:$B$546,MATCH(B34,'Test Cases'!$A$2:$A$546,0)),""))</f>
        <v/>
      </c>
      <c r="D34" s="5">
        <f>IF(B34="","",IFERROR(INDEX('Test Cases'!$C$2:$C$546,MATCH(B34,'Test Cases'!$A$2:$A$546,0)),""))</f>
        <v/>
      </c>
      <c r="E34" s="5" t="n"/>
      <c r="F34" s="5" t="n"/>
      <c r="G34" s="5" t="n"/>
      <c r="H34" s="5" t="n"/>
      <c r="I34" s="5" t="n"/>
      <c r="J34" s="10" t="n"/>
      <c r="K34" s="10" t="n"/>
      <c r="L34" s="10" t="n"/>
      <c r="M34" s="5" t="n"/>
      <c r="N34" s="18" t="n"/>
      <c r="O34" s="5" t="n"/>
      <c r="P34" s="18" t="n"/>
      <c r="Q34" s="18" t="n"/>
      <c r="R34" s="10" t="n"/>
      <c r="S34" s="18" t="n"/>
      <c r="T34" s="5" t="n"/>
    </row>
    <row r="35" ht="30" customHeight="1">
      <c r="A35" s="10" t="inlineStr">
        <is>
          <t>DEF-034</t>
        </is>
      </c>
      <c r="B35" s="10" t="n"/>
      <c r="C35" s="5">
        <f>IF(B35="","",IFERROR(INDEX('Test Cases'!$B$2:$B$546,MATCH(B35,'Test Cases'!$A$2:$A$546,0)),""))</f>
        <v/>
      </c>
      <c r="D35" s="5">
        <f>IF(B35="","",IFERROR(INDEX('Test Cases'!$C$2:$C$546,MATCH(B35,'Test Cases'!$A$2:$A$546,0)),""))</f>
        <v/>
      </c>
      <c r="E35" s="5" t="n"/>
      <c r="F35" s="5" t="n"/>
      <c r="G35" s="5" t="n"/>
      <c r="H35" s="5" t="n"/>
      <c r="I35" s="5" t="n"/>
      <c r="J35" s="10" t="n"/>
      <c r="K35" s="10" t="n"/>
      <c r="L35" s="10" t="n"/>
      <c r="M35" s="5" t="n"/>
      <c r="N35" s="18" t="n"/>
      <c r="O35" s="5" t="n"/>
      <c r="P35" s="18" t="n"/>
      <c r="Q35" s="18" t="n"/>
      <c r="R35" s="10" t="n"/>
      <c r="S35" s="18" t="n"/>
      <c r="T35" s="5" t="n"/>
    </row>
    <row r="36" ht="30" customHeight="1">
      <c r="A36" s="10" t="inlineStr">
        <is>
          <t>DEF-035</t>
        </is>
      </c>
      <c r="B36" s="10" t="n"/>
      <c r="C36" s="5">
        <f>IF(B36="","",IFERROR(INDEX('Test Cases'!$B$2:$B$546,MATCH(B36,'Test Cases'!$A$2:$A$546,0)),""))</f>
        <v/>
      </c>
      <c r="D36" s="5">
        <f>IF(B36="","",IFERROR(INDEX('Test Cases'!$C$2:$C$546,MATCH(B36,'Test Cases'!$A$2:$A$546,0)),""))</f>
        <v/>
      </c>
      <c r="E36" s="5" t="n"/>
      <c r="F36" s="5" t="n"/>
      <c r="G36" s="5" t="n"/>
      <c r="H36" s="5" t="n"/>
      <c r="I36" s="5" t="n"/>
      <c r="J36" s="10" t="n"/>
      <c r="K36" s="10" t="n"/>
      <c r="L36" s="10" t="n"/>
      <c r="M36" s="5" t="n"/>
      <c r="N36" s="18" t="n"/>
      <c r="O36" s="5" t="n"/>
      <c r="P36" s="18" t="n"/>
      <c r="Q36" s="18" t="n"/>
      <c r="R36" s="10" t="n"/>
      <c r="S36" s="18" t="n"/>
      <c r="T36" s="5" t="n"/>
    </row>
    <row r="37" ht="30" customHeight="1">
      <c r="A37" s="10" t="inlineStr">
        <is>
          <t>DEF-036</t>
        </is>
      </c>
      <c r="B37" s="10" t="n"/>
      <c r="C37" s="5">
        <f>IF(B37="","",IFERROR(INDEX('Test Cases'!$B$2:$B$546,MATCH(B37,'Test Cases'!$A$2:$A$546,0)),""))</f>
        <v/>
      </c>
      <c r="D37" s="5">
        <f>IF(B37="","",IFERROR(INDEX('Test Cases'!$C$2:$C$546,MATCH(B37,'Test Cases'!$A$2:$A$546,0)),""))</f>
        <v/>
      </c>
      <c r="E37" s="5" t="n"/>
      <c r="F37" s="5" t="n"/>
      <c r="G37" s="5" t="n"/>
      <c r="H37" s="5" t="n"/>
      <c r="I37" s="5" t="n"/>
      <c r="J37" s="10" t="n"/>
      <c r="K37" s="10" t="n"/>
      <c r="L37" s="10" t="n"/>
      <c r="M37" s="5" t="n"/>
      <c r="N37" s="18" t="n"/>
      <c r="O37" s="5" t="n"/>
      <c r="P37" s="18" t="n"/>
      <c r="Q37" s="18" t="n"/>
      <c r="R37" s="10" t="n"/>
      <c r="S37" s="18" t="n"/>
      <c r="T37" s="5" t="n"/>
    </row>
    <row r="38" ht="30" customHeight="1">
      <c r="A38" s="10" t="inlineStr">
        <is>
          <t>DEF-037</t>
        </is>
      </c>
      <c r="B38" s="10" t="n"/>
      <c r="C38" s="5">
        <f>IF(B38="","",IFERROR(INDEX('Test Cases'!$B$2:$B$546,MATCH(B38,'Test Cases'!$A$2:$A$546,0)),""))</f>
        <v/>
      </c>
      <c r="D38" s="5">
        <f>IF(B38="","",IFERROR(INDEX('Test Cases'!$C$2:$C$546,MATCH(B38,'Test Cases'!$A$2:$A$546,0)),""))</f>
        <v/>
      </c>
      <c r="E38" s="5" t="n"/>
      <c r="F38" s="5" t="n"/>
      <c r="G38" s="5" t="n"/>
      <c r="H38" s="5" t="n"/>
      <c r="I38" s="5" t="n"/>
      <c r="J38" s="10" t="n"/>
      <c r="K38" s="10" t="n"/>
      <c r="L38" s="10" t="n"/>
      <c r="M38" s="5" t="n"/>
      <c r="N38" s="18" t="n"/>
      <c r="O38" s="5" t="n"/>
      <c r="P38" s="18" t="n"/>
      <c r="Q38" s="18" t="n"/>
      <c r="R38" s="10" t="n"/>
      <c r="S38" s="18" t="n"/>
      <c r="T38" s="5" t="n"/>
    </row>
    <row r="39" ht="30" customHeight="1">
      <c r="A39" s="10" t="inlineStr">
        <is>
          <t>DEF-038</t>
        </is>
      </c>
      <c r="B39" s="10" t="n"/>
      <c r="C39" s="5">
        <f>IF(B39="","",IFERROR(INDEX('Test Cases'!$B$2:$B$546,MATCH(B39,'Test Cases'!$A$2:$A$546,0)),""))</f>
        <v/>
      </c>
      <c r="D39" s="5">
        <f>IF(B39="","",IFERROR(INDEX('Test Cases'!$C$2:$C$546,MATCH(B39,'Test Cases'!$A$2:$A$546,0)),""))</f>
        <v/>
      </c>
      <c r="E39" s="5" t="n"/>
      <c r="F39" s="5" t="n"/>
      <c r="G39" s="5" t="n"/>
      <c r="H39" s="5" t="n"/>
      <c r="I39" s="5" t="n"/>
      <c r="J39" s="10" t="n"/>
      <c r="K39" s="10" t="n"/>
      <c r="L39" s="10" t="n"/>
      <c r="M39" s="5" t="n"/>
      <c r="N39" s="18" t="n"/>
      <c r="O39" s="5" t="n"/>
      <c r="P39" s="18" t="n"/>
      <c r="Q39" s="18" t="n"/>
      <c r="R39" s="10" t="n"/>
      <c r="S39" s="18" t="n"/>
      <c r="T39" s="5" t="n"/>
    </row>
    <row r="40" ht="30" customHeight="1">
      <c r="A40" s="10" t="inlineStr">
        <is>
          <t>DEF-039</t>
        </is>
      </c>
      <c r="B40" s="10" t="n"/>
      <c r="C40" s="5">
        <f>IF(B40="","",IFERROR(INDEX('Test Cases'!$B$2:$B$546,MATCH(B40,'Test Cases'!$A$2:$A$546,0)),""))</f>
        <v/>
      </c>
      <c r="D40" s="5">
        <f>IF(B40="","",IFERROR(INDEX('Test Cases'!$C$2:$C$546,MATCH(B40,'Test Cases'!$A$2:$A$546,0)),""))</f>
        <v/>
      </c>
      <c r="E40" s="5" t="n"/>
      <c r="F40" s="5" t="n"/>
      <c r="G40" s="5" t="n"/>
      <c r="H40" s="5" t="n"/>
      <c r="I40" s="5" t="n"/>
      <c r="J40" s="10" t="n"/>
      <c r="K40" s="10" t="n"/>
      <c r="L40" s="10" t="n"/>
      <c r="M40" s="5" t="n"/>
      <c r="N40" s="18" t="n"/>
      <c r="O40" s="5" t="n"/>
      <c r="P40" s="18" t="n"/>
      <c r="Q40" s="18" t="n"/>
      <c r="R40" s="10" t="n"/>
      <c r="S40" s="18" t="n"/>
      <c r="T40" s="5" t="n"/>
    </row>
    <row r="41" ht="30" customHeight="1">
      <c r="A41" s="10" t="inlineStr">
        <is>
          <t>DEF-040</t>
        </is>
      </c>
      <c r="B41" s="10" t="n"/>
      <c r="C41" s="5">
        <f>IF(B41="","",IFERROR(INDEX('Test Cases'!$B$2:$B$546,MATCH(B41,'Test Cases'!$A$2:$A$546,0)),""))</f>
        <v/>
      </c>
      <c r="D41" s="5">
        <f>IF(B41="","",IFERROR(INDEX('Test Cases'!$C$2:$C$546,MATCH(B41,'Test Cases'!$A$2:$A$546,0)),""))</f>
        <v/>
      </c>
      <c r="E41" s="5" t="n"/>
      <c r="F41" s="5" t="n"/>
      <c r="G41" s="5" t="n"/>
      <c r="H41" s="5" t="n"/>
      <c r="I41" s="5" t="n"/>
      <c r="J41" s="10" t="n"/>
      <c r="K41" s="10" t="n"/>
      <c r="L41" s="10" t="n"/>
      <c r="M41" s="5" t="n"/>
      <c r="N41" s="18" t="n"/>
      <c r="O41" s="5" t="n"/>
      <c r="P41" s="18" t="n"/>
      <c r="Q41" s="18" t="n"/>
      <c r="R41" s="10" t="n"/>
      <c r="S41" s="18" t="n"/>
      <c r="T41" s="5" t="n"/>
    </row>
    <row r="42" ht="30" customHeight="1">
      <c r="A42" s="10" t="inlineStr">
        <is>
          <t>DEF-041</t>
        </is>
      </c>
      <c r="B42" s="10" t="n"/>
      <c r="C42" s="5">
        <f>IF(B42="","",IFERROR(INDEX('Test Cases'!$B$2:$B$546,MATCH(B42,'Test Cases'!$A$2:$A$546,0)),""))</f>
        <v/>
      </c>
      <c r="D42" s="5">
        <f>IF(B42="","",IFERROR(INDEX('Test Cases'!$C$2:$C$546,MATCH(B42,'Test Cases'!$A$2:$A$546,0)),""))</f>
        <v/>
      </c>
      <c r="E42" s="5" t="n"/>
      <c r="F42" s="5" t="n"/>
      <c r="G42" s="5" t="n"/>
      <c r="H42" s="5" t="n"/>
      <c r="I42" s="5" t="n"/>
      <c r="J42" s="10" t="n"/>
      <c r="K42" s="10" t="n"/>
      <c r="L42" s="10" t="n"/>
      <c r="M42" s="5" t="n"/>
      <c r="N42" s="18" t="n"/>
      <c r="O42" s="5" t="n"/>
      <c r="P42" s="18" t="n"/>
      <c r="Q42" s="18" t="n"/>
      <c r="R42" s="10" t="n"/>
      <c r="S42" s="18" t="n"/>
      <c r="T42" s="5" t="n"/>
    </row>
    <row r="43" ht="30" customHeight="1">
      <c r="A43" s="10" t="inlineStr">
        <is>
          <t>DEF-042</t>
        </is>
      </c>
      <c r="B43" s="10" t="n"/>
      <c r="C43" s="5">
        <f>IF(B43="","",IFERROR(INDEX('Test Cases'!$B$2:$B$546,MATCH(B43,'Test Cases'!$A$2:$A$546,0)),""))</f>
        <v/>
      </c>
      <c r="D43" s="5">
        <f>IF(B43="","",IFERROR(INDEX('Test Cases'!$C$2:$C$546,MATCH(B43,'Test Cases'!$A$2:$A$546,0)),""))</f>
        <v/>
      </c>
      <c r="E43" s="5" t="n"/>
      <c r="F43" s="5" t="n"/>
      <c r="G43" s="5" t="n"/>
      <c r="H43" s="5" t="n"/>
      <c r="I43" s="5" t="n"/>
      <c r="J43" s="10" t="n"/>
      <c r="K43" s="10" t="n"/>
      <c r="L43" s="10" t="n"/>
      <c r="M43" s="5" t="n"/>
      <c r="N43" s="18" t="n"/>
      <c r="O43" s="5" t="n"/>
      <c r="P43" s="18" t="n"/>
      <c r="Q43" s="18" t="n"/>
      <c r="R43" s="10" t="n"/>
      <c r="S43" s="18" t="n"/>
      <c r="T43" s="5" t="n"/>
    </row>
    <row r="44" ht="30" customHeight="1">
      <c r="A44" s="10" t="inlineStr">
        <is>
          <t>DEF-043</t>
        </is>
      </c>
      <c r="B44" s="10" t="n"/>
      <c r="C44" s="5">
        <f>IF(B44="","",IFERROR(INDEX('Test Cases'!$B$2:$B$546,MATCH(B44,'Test Cases'!$A$2:$A$546,0)),""))</f>
        <v/>
      </c>
      <c r="D44" s="5">
        <f>IF(B44="","",IFERROR(INDEX('Test Cases'!$C$2:$C$546,MATCH(B44,'Test Cases'!$A$2:$A$546,0)),""))</f>
        <v/>
      </c>
      <c r="E44" s="5" t="n"/>
      <c r="F44" s="5" t="n"/>
      <c r="G44" s="5" t="n"/>
      <c r="H44" s="5" t="n"/>
      <c r="I44" s="5" t="n"/>
      <c r="J44" s="10" t="n"/>
      <c r="K44" s="10" t="n"/>
      <c r="L44" s="10" t="n"/>
      <c r="M44" s="5" t="n"/>
      <c r="N44" s="18" t="n"/>
      <c r="O44" s="5" t="n"/>
      <c r="P44" s="18" t="n"/>
      <c r="Q44" s="18" t="n"/>
      <c r="R44" s="10" t="n"/>
      <c r="S44" s="18" t="n"/>
      <c r="T44" s="5" t="n"/>
    </row>
    <row r="45" ht="30" customHeight="1">
      <c r="A45" s="10" t="inlineStr">
        <is>
          <t>DEF-044</t>
        </is>
      </c>
      <c r="B45" s="10" t="n"/>
      <c r="C45" s="5">
        <f>IF(B45="","",IFERROR(INDEX('Test Cases'!$B$2:$B$546,MATCH(B45,'Test Cases'!$A$2:$A$546,0)),""))</f>
        <v/>
      </c>
      <c r="D45" s="5">
        <f>IF(B45="","",IFERROR(INDEX('Test Cases'!$C$2:$C$546,MATCH(B45,'Test Cases'!$A$2:$A$546,0)),""))</f>
        <v/>
      </c>
      <c r="E45" s="5" t="n"/>
      <c r="F45" s="5" t="n"/>
      <c r="G45" s="5" t="n"/>
      <c r="H45" s="5" t="n"/>
      <c r="I45" s="5" t="n"/>
      <c r="J45" s="10" t="n"/>
      <c r="K45" s="10" t="n"/>
      <c r="L45" s="10" t="n"/>
      <c r="M45" s="5" t="n"/>
      <c r="N45" s="18" t="n"/>
      <c r="O45" s="5" t="n"/>
      <c r="P45" s="18" t="n"/>
      <c r="Q45" s="18" t="n"/>
      <c r="R45" s="10" t="n"/>
      <c r="S45" s="18" t="n"/>
      <c r="T45" s="5" t="n"/>
    </row>
    <row r="46" ht="30" customHeight="1">
      <c r="A46" s="10" t="inlineStr">
        <is>
          <t>DEF-045</t>
        </is>
      </c>
      <c r="B46" s="10" t="n"/>
      <c r="C46" s="5">
        <f>IF(B46="","",IFERROR(INDEX('Test Cases'!$B$2:$B$546,MATCH(B46,'Test Cases'!$A$2:$A$546,0)),""))</f>
        <v/>
      </c>
      <c r="D46" s="5">
        <f>IF(B46="","",IFERROR(INDEX('Test Cases'!$C$2:$C$546,MATCH(B46,'Test Cases'!$A$2:$A$546,0)),""))</f>
        <v/>
      </c>
      <c r="E46" s="5" t="n"/>
      <c r="F46" s="5" t="n"/>
      <c r="G46" s="5" t="n"/>
      <c r="H46" s="5" t="n"/>
      <c r="I46" s="5" t="n"/>
      <c r="J46" s="10" t="n"/>
      <c r="K46" s="10" t="n"/>
      <c r="L46" s="10" t="n"/>
      <c r="M46" s="5" t="n"/>
      <c r="N46" s="18" t="n"/>
      <c r="O46" s="5" t="n"/>
      <c r="P46" s="18" t="n"/>
      <c r="Q46" s="18" t="n"/>
      <c r="R46" s="10" t="n"/>
      <c r="S46" s="18" t="n"/>
      <c r="T46" s="5" t="n"/>
    </row>
    <row r="47" ht="30" customHeight="1">
      <c r="A47" s="10" t="inlineStr">
        <is>
          <t>DEF-046</t>
        </is>
      </c>
      <c r="B47" s="10" t="n"/>
      <c r="C47" s="5">
        <f>IF(B47="","",IFERROR(INDEX('Test Cases'!$B$2:$B$546,MATCH(B47,'Test Cases'!$A$2:$A$546,0)),""))</f>
        <v/>
      </c>
      <c r="D47" s="5">
        <f>IF(B47="","",IFERROR(INDEX('Test Cases'!$C$2:$C$546,MATCH(B47,'Test Cases'!$A$2:$A$546,0)),""))</f>
        <v/>
      </c>
      <c r="E47" s="5" t="n"/>
      <c r="F47" s="5" t="n"/>
      <c r="G47" s="5" t="n"/>
      <c r="H47" s="5" t="n"/>
      <c r="I47" s="5" t="n"/>
      <c r="J47" s="10" t="n"/>
      <c r="K47" s="10" t="n"/>
      <c r="L47" s="10" t="n"/>
      <c r="M47" s="5" t="n"/>
      <c r="N47" s="18" t="n"/>
      <c r="O47" s="5" t="n"/>
      <c r="P47" s="18" t="n"/>
      <c r="Q47" s="18" t="n"/>
      <c r="R47" s="10" t="n"/>
      <c r="S47" s="18" t="n"/>
      <c r="T47" s="5" t="n"/>
    </row>
    <row r="48" ht="30" customHeight="1">
      <c r="A48" s="10" t="inlineStr">
        <is>
          <t>DEF-047</t>
        </is>
      </c>
      <c r="B48" s="10" t="n"/>
      <c r="C48" s="5">
        <f>IF(B48="","",IFERROR(INDEX('Test Cases'!$B$2:$B$546,MATCH(B48,'Test Cases'!$A$2:$A$546,0)),""))</f>
        <v/>
      </c>
      <c r="D48" s="5">
        <f>IF(B48="","",IFERROR(INDEX('Test Cases'!$C$2:$C$546,MATCH(B48,'Test Cases'!$A$2:$A$546,0)),""))</f>
        <v/>
      </c>
      <c r="E48" s="5" t="n"/>
      <c r="F48" s="5" t="n"/>
      <c r="G48" s="5" t="n"/>
      <c r="H48" s="5" t="n"/>
      <c r="I48" s="5" t="n"/>
      <c r="J48" s="10" t="n"/>
      <c r="K48" s="10" t="n"/>
      <c r="L48" s="10" t="n"/>
      <c r="M48" s="5" t="n"/>
      <c r="N48" s="18" t="n"/>
      <c r="O48" s="5" t="n"/>
      <c r="P48" s="18" t="n"/>
      <c r="Q48" s="18" t="n"/>
      <c r="R48" s="10" t="n"/>
      <c r="S48" s="18" t="n"/>
      <c r="T48" s="5" t="n"/>
    </row>
    <row r="49" ht="30" customHeight="1">
      <c r="A49" s="10" t="inlineStr">
        <is>
          <t>DEF-048</t>
        </is>
      </c>
      <c r="B49" s="10" t="n"/>
      <c r="C49" s="5">
        <f>IF(B49="","",IFERROR(INDEX('Test Cases'!$B$2:$B$546,MATCH(B49,'Test Cases'!$A$2:$A$546,0)),""))</f>
        <v/>
      </c>
      <c r="D49" s="5">
        <f>IF(B49="","",IFERROR(INDEX('Test Cases'!$C$2:$C$546,MATCH(B49,'Test Cases'!$A$2:$A$546,0)),""))</f>
        <v/>
      </c>
      <c r="E49" s="5" t="n"/>
      <c r="F49" s="5" t="n"/>
      <c r="G49" s="5" t="n"/>
      <c r="H49" s="5" t="n"/>
      <c r="I49" s="5" t="n"/>
      <c r="J49" s="10" t="n"/>
      <c r="K49" s="10" t="n"/>
      <c r="L49" s="10" t="n"/>
      <c r="M49" s="5" t="n"/>
      <c r="N49" s="18" t="n"/>
      <c r="O49" s="5" t="n"/>
      <c r="P49" s="18" t="n"/>
      <c r="Q49" s="18" t="n"/>
      <c r="R49" s="10" t="n"/>
      <c r="S49" s="18" t="n"/>
      <c r="T49" s="5" t="n"/>
    </row>
    <row r="50" ht="30" customHeight="1">
      <c r="A50" s="10" t="inlineStr">
        <is>
          <t>DEF-049</t>
        </is>
      </c>
      <c r="B50" s="10" t="n"/>
      <c r="C50" s="5">
        <f>IF(B50="","",IFERROR(INDEX('Test Cases'!$B$2:$B$546,MATCH(B50,'Test Cases'!$A$2:$A$546,0)),""))</f>
        <v/>
      </c>
      <c r="D50" s="5">
        <f>IF(B50="","",IFERROR(INDEX('Test Cases'!$C$2:$C$546,MATCH(B50,'Test Cases'!$A$2:$A$546,0)),""))</f>
        <v/>
      </c>
      <c r="E50" s="5" t="n"/>
      <c r="F50" s="5" t="n"/>
      <c r="G50" s="5" t="n"/>
      <c r="H50" s="5" t="n"/>
      <c r="I50" s="5" t="n"/>
      <c r="J50" s="10" t="n"/>
      <c r="K50" s="10" t="n"/>
      <c r="L50" s="10" t="n"/>
      <c r="M50" s="5" t="n"/>
      <c r="N50" s="18" t="n"/>
      <c r="O50" s="5" t="n"/>
      <c r="P50" s="18" t="n"/>
      <c r="Q50" s="18" t="n"/>
      <c r="R50" s="10" t="n"/>
      <c r="S50" s="18" t="n"/>
      <c r="T50" s="5" t="n"/>
    </row>
    <row r="51" ht="30" customHeight="1">
      <c r="A51" s="10" t="inlineStr">
        <is>
          <t>DEF-050</t>
        </is>
      </c>
      <c r="B51" s="10" t="n"/>
      <c r="C51" s="5">
        <f>IF(B51="","",IFERROR(INDEX('Test Cases'!$B$2:$B$546,MATCH(B51,'Test Cases'!$A$2:$A$546,0)),""))</f>
        <v/>
      </c>
      <c r="D51" s="5">
        <f>IF(B51="","",IFERROR(INDEX('Test Cases'!$C$2:$C$546,MATCH(B51,'Test Cases'!$A$2:$A$546,0)),""))</f>
        <v/>
      </c>
      <c r="E51" s="5" t="n"/>
      <c r="F51" s="5" t="n"/>
      <c r="G51" s="5" t="n"/>
      <c r="H51" s="5" t="n"/>
      <c r="I51" s="5" t="n"/>
      <c r="J51" s="10" t="n"/>
      <c r="K51" s="10" t="n"/>
      <c r="L51" s="10" t="n"/>
      <c r="M51" s="5" t="n"/>
      <c r="N51" s="18" t="n"/>
      <c r="O51" s="5" t="n"/>
      <c r="P51" s="18" t="n"/>
      <c r="Q51" s="18" t="n"/>
      <c r="R51" s="10" t="n"/>
      <c r="S51" s="18" t="n"/>
      <c r="T51" s="5" t="n"/>
    </row>
    <row r="52" ht="30" customHeight="1">
      <c r="A52" s="10" t="inlineStr">
        <is>
          <t>DEF-051</t>
        </is>
      </c>
      <c r="B52" s="10" t="n"/>
      <c r="C52" s="5">
        <f>IF(B52="","",IFERROR(INDEX('Test Cases'!$B$2:$B$546,MATCH(B52,'Test Cases'!$A$2:$A$546,0)),""))</f>
        <v/>
      </c>
      <c r="D52" s="5">
        <f>IF(B52="","",IFERROR(INDEX('Test Cases'!$C$2:$C$546,MATCH(B52,'Test Cases'!$A$2:$A$546,0)),""))</f>
        <v/>
      </c>
      <c r="E52" s="5" t="n"/>
      <c r="F52" s="5" t="n"/>
      <c r="G52" s="5" t="n"/>
      <c r="H52" s="5" t="n"/>
      <c r="I52" s="5" t="n"/>
      <c r="J52" s="10" t="n"/>
      <c r="K52" s="10" t="n"/>
      <c r="L52" s="10" t="n"/>
      <c r="M52" s="5" t="n"/>
      <c r="N52" s="18" t="n"/>
      <c r="O52" s="5" t="n"/>
      <c r="P52" s="18" t="n"/>
      <c r="Q52" s="18" t="n"/>
      <c r="R52" s="10" t="n"/>
      <c r="S52" s="18" t="n"/>
      <c r="T52" s="5" t="n"/>
    </row>
    <row r="53" ht="30" customHeight="1">
      <c r="A53" s="10" t="inlineStr">
        <is>
          <t>DEF-052</t>
        </is>
      </c>
      <c r="B53" s="10" t="n"/>
      <c r="C53" s="5">
        <f>IF(B53="","",IFERROR(INDEX('Test Cases'!$B$2:$B$546,MATCH(B53,'Test Cases'!$A$2:$A$546,0)),""))</f>
        <v/>
      </c>
      <c r="D53" s="5">
        <f>IF(B53="","",IFERROR(INDEX('Test Cases'!$C$2:$C$546,MATCH(B53,'Test Cases'!$A$2:$A$546,0)),""))</f>
        <v/>
      </c>
      <c r="E53" s="5" t="n"/>
      <c r="F53" s="5" t="n"/>
      <c r="G53" s="5" t="n"/>
      <c r="H53" s="5" t="n"/>
      <c r="I53" s="5" t="n"/>
      <c r="J53" s="10" t="n"/>
      <c r="K53" s="10" t="n"/>
      <c r="L53" s="10" t="n"/>
      <c r="M53" s="5" t="n"/>
      <c r="N53" s="18" t="n"/>
      <c r="O53" s="5" t="n"/>
      <c r="P53" s="18" t="n"/>
      <c r="Q53" s="18" t="n"/>
      <c r="R53" s="10" t="n"/>
      <c r="S53" s="18" t="n"/>
      <c r="T53" s="5" t="n"/>
    </row>
    <row r="54" ht="30" customHeight="1">
      <c r="A54" s="10" t="inlineStr">
        <is>
          <t>DEF-053</t>
        </is>
      </c>
      <c r="B54" s="10" t="n"/>
      <c r="C54" s="5">
        <f>IF(B54="","",IFERROR(INDEX('Test Cases'!$B$2:$B$546,MATCH(B54,'Test Cases'!$A$2:$A$546,0)),""))</f>
        <v/>
      </c>
      <c r="D54" s="5">
        <f>IF(B54="","",IFERROR(INDEX('Test Cases'!$C$2:$C$546,MATCH(B54,'Test Cases'!$A$2:$A$546,0)),""))</f>
        <v/>
      </c>
      <c r="E54" s="5" t="n"/>
      <c r="F54" s="5" t="n"/>
      <c r="G54" s="5" t="n"/>
      <c r="H54" s="5" t="n"/>
      <c r="I54" s="5" t="n"/>
      <c r="J54" s="10" t="n"/>
      <c r="K54" s="10" t="n"/>
      <c r="L54" s="10" t="n"/>
      <c r="M54" s="5" t="n"/>
      <c r="N54" s="18" t="n"/>
      <c r="O54" s="5" t="n"/>
      <c r="P54" s="18" t="n"/>
      <c r="Q54" s="18" t="n"/>
      <c r="R54" s="10" t="n"/>
      <c r="S54" s="18" t="n"/>
      <c r="T54" s="5" t="n"/>
    </row>
    <row r="55" ht="30" customHeight="1">
      <c r="A55" s="10" t="inlineStr">
        <is>
          <t>DEF-054</t>
        </is>
      </c>
      <c r="B55" s="10" t="n"/>
      <c r="C55" s="5">
        <f>IF(B55="","",IFERROR(INDEX('Test Cases'!$B$2:$B$546,MATCH(B55,'Test Cases'!$A$2:$A$546,0)),""))</f>
        <v/>
      </c>
      <c r="D55" s="5">
        <f>IF(B55="","",IFERROR(INDEX('Test Cases'!$C$2:$C$546,MATCH(B55,'Test Cases'!$A$2:$A$546,0)),""))</f>
        <v/>
      </c>
      <c r="E55" s="5" t="n"/>
      <c r="F55" s="5" t="n"/>
      <c r="G55" s="5" t="n"/>
      <c r="H55" s="5" t="n"/>
      <c r="I55" s="5" t="n"/>
      <c r="J55" s="10" t="n"/>
      <c r="K55" s="10" t="n"/>
      <c r="L55" s="10" t="n"/>
      <c r="M55" s="5" t="n"/>
      <c r="N55" s="18" t="n"/>
      <c r="O55" s="5" t="n"/>
      <c r="P55" s="18" t="n"/>
      <c r="Q55" s="18" t="n"/>
      <c r="R55" s="10" t="n"/>
      <c r="S55" s="18" t="n"/>
      <c r="T55" s="5" t="n"/>
    </row>
    <row r="56" ht="30" customHeight="1">
      <c r="A56" s="10" t="inlineStr">
        <is>
          <t>DEF-055</t>
        </is>
      </c>
      <c r="B56" s="10" t="n"/>
      <c r="C56" s="5">
        <f>IF(B56="","",IFERROR(INDEX('Test Cases'!$B$2:$B$546,MATCH(B56,'Test Cases'!$A$2:$A$546,0)),""))</f>
        <v/>
      </c>
      <c r="D56" s="5">
        <f>IF(B56="","",IFERROR(INDEX('Test Cases'!$C$2:$C$546,MATCH(B56,'Test Cases'!$A$2:$A$546,0)),""))</f>
        <v/>
      </c>
      <c r="E56" s="5" t="n"/>
      <c r="F56" s="5" t="n"/>
      <c r="G56" s="5" t="n"/>
      <c r="H56" s="5" t="n"/>
      <c r="I56" s="5" t="n"/>
      <c r="J56" s="10" t="n"/>
      <c r="K56" s="10" t="n"/>
      <c r="L56" s="10" t="n"/>
      <c r="M56" s="5" t="n"/>
      <c r="N56" s="18" t="n"/>
      <c r="O56" s="5" t="n"/>
      <c r="P56" s="18" t="n"/>
      <c r="Q56" s="18" t="n"/>
      <c r="R56" s="10" t="n"/>
      <c r="S56" s="18" t="n"/>
      <c r="T56" s="5" t="n"/>
    </row>
    <row r="57" ht="30" customHeight="1">
      <c r="A57" s="10" t="inlineStr">
        <is>
          <t>DEF-056</t>
        </is>
      </c>
      <c r="B57" s="10" t="n"/>
      <c r="C57" s="5">
        <f>IF(B57="","",IFERROR(INDEX('Test Cases'!$B$2:$B$546,MATCH(B57,'Test Cases'!$A$2:$A$546,0)),""))</f>
        <v/>
      </c>
      <c r="D57" s="5">
        <f>IF(B57="","",IFERROR(INDEX('Test Cases'!$C$2:$C$546,MATCH(B57,'Test Cases'!$A$2:$A$546,0)),""))</f>
        <v/>
      </c>
      <c r="E57" s="5" t="n"/>
      <c r="F57" s="5" t="n"/>
      <c r="G57" s="5" t="n"/>
      <c r="H57" s="5" t="n"/>
      <c r="I57" s="5" t="n"/>
      <c r="J57" s="10" t="n"/>
      <c r="K57" s="10" t="n"/>
      <c r="L57" s="10" t="n"/>
      <c r="M57" s="5" t="n"/>
      <c r="N57" s="18" t="n"/>
      <c r="O57" s="5" t="n"/>
      <c r="P57" s="18" t="n"/>
      <c r="Q57" s="18" t="n"/>
      <c r="R57" s="10" t="n"/>
      <c r="S57" s="18" t="n"/>
      <c r="T57" s="5" t="n"/>
    </row>
    <row r="58" ht="30" customHeight="1">
      <c r="A58" s="10" t="inlineStr">
        <is>
          <t>DEF-057</t>
        </is>
      </c>
      <c r="B58" s="10" t="n"/>
      <c r="C58" s="5">
        <f>IF(B58="","",IFERROR(INDEX('Test Cases'!$B$2:$B$546,MATCH(B58,'Test Cases'!$A$2:$A$546,0)),""))</f>
        <v/>
      </c>
      <c r="D58" s="5">
        <f>IF(B58="","",IFERROR(INDEX('Test Cases'!$C$2:$C$546,MATCH(B58,'Test Cases'!$A$2:$A$546,0)),""))</f>
        <v/>
      </c>
      <c r="E58" s="5" t="n"/>
      <c r="F58" s="5" t="n"/>
      <c r="G58" s="5" t="n"/>
      <c r="H58" s="5" t="n"/>
      <c r="I58" s="5" t="n"/>
      <c r="J58" s="10" t="n"/>
      <c r="K58" s="10" t="n"/>
      <c r="L58" s="10" t="n"/>
      <c r="M58" s="5" t="n"/>
      <c r="N58" s="18" t="n"/>
      <c r="O58" s="5" t="n"/>
      <c r="P58" s="18" t="n"/>
      <c r="Q58" s="18" t="n"/>
      <c r="R58" s="10" t="n"/>
      <c r="S58" s="18" t="n"/>
      <c r="T58" s="5" t="n"/>
    </row>
    <row r="59" ht="30" customHeight="1">
      <c r="A59" s="10" t="inlineStr">
        <is>
          <t>DEF-058</t>
        </is>
      </c>
      <c r="B59" s="10" t="n"/>
      <c r="C59" s="5">
        <f>IF(B59="","",IFERROR(INDEX('Test Cases'!$B$2:$B$546,MATCH(B59,'Test Cases'!$A$2:$A$546,0)),""))</f>
        <v/>
      </c>
      <c r="D59" s="5">
        <f>IF(B59="","",IFERROR(INDEX('Test Cases'!$C$2:$C$546,MATCH(B59,'Test Cases'!$A$2:$A$546,0)),""))</f>
        <v/>
      </c>
      <c r="E59" s="5" t="n"/>
      <c r="F59" s="5" t="n"/>
      <c r="G59" s="5" t="n"/>
      <c r="H59" s="5" t="n"/>
      <c r="I59" s="5" t="n"/>
      <c r="J59" s="10" t="n"/>
      <c r="K59" s="10" t="n"/>
      <c r="L59" s="10" t="n"/>
      <c r="M59" s="5" t="n"/>
      <c r="N59" s="18" t="n"/>
      <c r="O59" s="5" t="n"/>
      <c r="P59" s="18" t="n"/>
      <c r="Q59" s="18" t="n"/>
      <c r="R59" s="10" t="n"/>
      <c r="S59" s="18" t="n"/>
      <c r="T59" s="5" t="n"/>
    </row>
    <row r="60" ht="30" customHeight="1">
      <c r="A60" s="10" t="inlineStr">
        <is>
          <t>DEF-059</t>
        </is>
      </c>
      <c r="B60" s="10" t="n"/>
      <c r="C60" s="5">
        <f>IF(B60="","",IFERROR(INDEX('Test Cases'!$B$2:$B$546,MATCH(B60,'Test Cases'!$A$2:$A$546,0)),""))</f>
        <v/>
      </c>
      <c r="D60" s="5">
        <f>IF(B60="","",IFERROR(INDEX('Test Cases'!$C$2:$C$546,MATCH(B60,'Test Cases'!$A$2:$A$546,0)),""))</f>
        <v/>
      </c>
      <c r="E60" s="5" t="n"/>
      <c r="F60" s="5" t="n"/>
      <c r="G60" s="5" t="n"/>
      <c r="H60" s="5" t="n"/>
      <c r="I60" s="5" t="n"/>
      <c r="J60" s="10" t="n"/>
      <c r="K60" s="10" t="n"/>
      <c r="L60" s="10" t="n"/>
      <c r="M60" s="5" t="n"/>
      <c r="N60" s="18" t="n"/>
      <c r="O60" s="5" t="n"/>
      <c r="P60" s="18" t="n"/>
      <c r="Q60" s="18" t="n"/>
      <c r="R60" s="10" t="n"/>
      <c r="S60" s="18" t="n"/>
      <c r="T60" s="5" t="n"/>
    </row>
    <row r="61" ht="30" customHeight="1">
      <c r="A61" s="10" t="inlineStr">
        <is>
          <t>DEF-060</t>
        </is>
      </c>
      <c r="B61" s="10" t="n"/>
      <c r="C61" s="5">
        <f>IF(B61="","",IFERROR(INDEX('Test Cases'!$B$2:$B$546,MATCH(B61,'Test Cases'!$A$2:$A$546,0)),""))</f>
        <v/>
      </c>
      <c r="D61" s="5">
        <f>IF(B61="","",IFERROR(INDEX('Test Cases'!$C$2:$C$546,MATCH(B61,'Test Cases'!$A$2:$A$546,0)),""))</f>
        <v/>
      </c>
      <c r="E61" s="5" t="n"/>
      <c r="F61" s="5" t="n"/>
      <c r="G61" s="5" t="n"/>
      <c r="H61" s="5" t="n"/>
      <c r="I61" s="5" t="n"/>
      <c r="J61" s="10" t="n"/>
      <c r="K61" s="10" t="n"/>
      <c r="L61" s="10" t="n"/>
      <c r="M61" s="5" t="n"/>
      <c r="N61" s="18" t="n"/>
      <c r="O61" s="5" t="n"/>
      <c r="P61" s="18" t="n"/>
      <c r="Q61" s="18" t="n"/>
      <c r="R61" s="10" t="n"/>
      <c r="S61" s="18" t="n"/>
      <c r="T61" s="5" t="n"/>
    </row>
    <row r="62" ht="30" customHeight="1">
      <c r="A62" s="10" t="inlineStr">
        <is>
          <t>DEF-061</t>
        </is>
      </c>
      <c r="B62" s="10" t="n"/>
      <c r="C62" s="5">
        <f>IF(B62="","",IFERROR(INDEX('Test Cases'!$B$2:$B$546,MATCH(B62,'Test Cases'!$A$2:$A$546,0)),""))</f>
        <v/>
      </c>
      <c r="D62" s="5">
        <f>IF(B62="","",IFERROR(INDEX('Test Cases'!$C$2:$C$546,MATCH(B62,'Test Cases'!$A$2:$A$546,0)),""))</f>
        <v/>
      </c>
      <c r="E62" s="5" t="n"/>
      <c r="F62" s="5" t="n"/>
      <c r="G62" s="5" t="n"/>
      <c r="H62" s="5" t="n"/>
      <c r="I62" s="5" t="n"/>
      <c r="J62" s="10" t="n"/>
      <c r="K62" s="10" t="n"/>
      <c r="L62" s="10" t="n"/>
      <c r="M62" s="5" t="n"/>
      <c r="N62" s="18" t="n"/>
      <c r="O62" s="5" t="n"/>
      <c r="P62" s="18" t="n"/>
      <c r="Q62" s="18" t="n"/>
      <c r="R62" s="10" t="n"/>
      <c r="S62" s="18" t="n"/>
      <c r="T62" s="5" t="n"/>
    </row>
    <row r="63" ht="30" customHeight="1">
      <c r="A63" s="10" t="inlineStr">
        <is>
          <t>DEF-062</t>
        </is>
      </c>
      <c r="B63" s="10" t="n"/>
      <c r="C63" s="5">
        <f>IF(B63="","",IFERROR(INDEX('Test Cases'!$B$2:$B$546,MATCH(B63,'Test Cases'!$A$2:$A$546,0)),""))</f>
        <v/>
      </c>
      <c r="D63" s="5">
        <f>IF(B63="","",IFERROR(INDEX('Test Cases'!$C$2:$C$546,MATCH(B63,'Test Cases'!$A$2:$A$546,0)),""))</f>
        <v/>
      </c>
      <c r="E63" s="5" t="n"/>
      <c r="F63" s="5" t="n"/>
      <c r="G63" s="5" t="n"/>
      <c r="H63" s="5" t="n"/>
      <c r="I63" s="5" t="n"/>
      <c r="J63" s="10" t="n"/>
      <c r="K63" s="10" t="n"/>
      <c r="L63" s="10" t="n"/>
      <c r="M63" s="5" t="n"/>
      <c r="N63" s="18" t="n"/>
      <c r="O63" s="5" t="n"/>
      <c r="P63" s="18" t="n"/>
      <c r="Q63" s="18" t="n"/>
      <c r="R63" s="10" t="n"/>
      <c r="S63" s="18" t="n"/>
      <c r="T63" s="5" t="n"/>
    </row>
    <row r="64" ht="30" customHeight="1">
      <c r="A64" s="10" t="inlineStr">
        <is>
          <t>DEF-063</t>
        </is>
      </c>
      <c r="B64" s="10" t="n"/>
      <c r="C64" s="5">
        <f>IF(B64="","",IFERROR(INDEX('Test Cases'!$B$2:$B$546,MATCH(B64,'Test Cases'!$A$2:$A$546,0)),""))</f>
        <v/>
      </c>
      <c r="D64" s="5">
        <f>IF(B64="","",IFERROR(INDEX('Test Cases'!$C$2:$C$546,MATCH(B64,'Test Cases'!$A$2:$A$546,0)),""))</f>
        <v/>
      </c>
      <c r="E64" s="5" t="n"/>
      <c r="F64" s="5" t="n"/>
      <c r="G64" s="5" t="n"/>
      <c r="H64" s="5" t="n"/>
      <c r="I64" s="5" t="n"/>
      <c r="J64" s="10" t="n"/>
      <c r="K64" s="10" t="n"/>
      <c r="L64" s="10" t="n"/>
      <c r="M64" s="5" t="n"/>
      <c r="N64" s="18" t="n"/>
      <c r="O64" s="5" t="n"/>
      <c r="P64" s="18" t="n"/>
      <c r="Q64" s="18" t="n"/>
      <c r="R64" s="10" t="n"/>
      <c r="S64" s="18" t="n"/>
      <c r="T64" s="5" t="n"/>
    </row>
    <row r="65" ht="30" customHeight="1">
      <c r="A65" s="10" t="inlineStr">
        <is>
          <t>DEF-064</t>
        </is>
      </c>
      <c r="B65" s="10" t="n"/>
      <c r="C65" s="5">
        <f>IF(B65="","",IFERROR(INDEX('Test Cases'!$B$2:$B$546,MATCH(B65,'Test Cases'!$A$2:$A$546,0)),""))</f>
        <v/>
      </c>
      <c r="D65" s="5">
        <f>IF(B65="","",IFERROR(INDEX('Test Cases'!$C$2:$C$546,MATCH(B65,'Test Cases'!$A$2:$A$546,0)),""))</f>
        <v/>
      </c>
      <c r="E65" s="5" t="n"/>
      <c r="F65" s="5" t="n"/>
      <c r="G65" s="5" t="n"/>
      <c r="H65" s="5" t="n"/>
      <c r="I65" s="5" t="n"/>
      <c r="J65" s="10" t="n"/>
      <c r="K65" s="10" t="n"/>
      <c r="L65" s="10" t="n"/>
      <c r="M65" s="5" t="n"/>
      <c r="N65" s="18" t="n"/>
      <c r="O65" s="5" t="n"/>
      <c r="P65" s="18" t="n"/>
      <c r="Q65" s="18" t="n"/>
      <c r="R65" s="10" t="n"/>
      <c r="S65" s="18" t="n"/>
      <c r="T65" s="5" t="n"/>
    </row>
    <row r="66" ht="30" customHeight="1">
      <c r="A66" s="10" t="inlineStr">
        <is>
          <t>DEF-065</t>
        </is>
      </c>
      <c r="B66" s="10" t="n"/>
      <c r="C66" s="5">
        <f>IF(B66="","",IFERROR(INDEX('Test Cases'!$B$2:$B$546,MATCH(B66,'Test Cases'!$A$2:$A$546,0)),""))</f>
        <v/>
      </c>
      <c r="D66" s="5">
        <f>IF(B66="","",IFERROR(INDEX('Test Cases'!$C$2:$C$546,MATCH(B66,'Test Cases'!$A$2:$A$546,0)),""))</f>
        <v/>
      </c>
      <c r="E66" s="5" t="n"/>
      <c r="F66" s="5" t="n"/>
      <c r="G66" s="5" t="n"/>
      <c r="H66" s="5" t="n"/>
      <c r="I66" s="5" t="n"/>
      <c r="J66" s="10" t="n"/>
      <c r="K66" s="10" t="n"/>
      <c r="L66" s="10" t="n"/>
      <c r="M66" s="5" t="n"/>
      <c r="N66" s="18" t="n"/>
      <c r="O66" s="5" t="n"/>
      <c r="P66" s="18" t="n"/>
      <c r="Q66" s="18" t="n"/>
      <c r="R66" s="10" t="n"/>
      <c r="S66" s="18" t="n"/>
      <c r="T66" s="5" t="n"/>
    </row>
    <row r="67" ht="30" customHeight="1">
      <c r="A67" s="10" t="inlineStr">
        <is>
          <t>DEF-066</t>
        </is>
      </c>
      <c r="B67" s="10" t="n"/>
      <c r="C67" s="5">
        <f>IF(B67="","",IFERROR(INDEX('Test Cases'!$B$2:$B$546,MATCH(B67,'Test Cases'!$A$2:$A$546,0)),""))</f>
        <v/>
      </c>
      <c r="D67" s="5">
        <f>IF(B67="","",IFERROR(INDEX('Test Cases'!$C$2:$C$546,MATCH(B67,'Test Cases'!$A$2:$A$546,0)),""))</f>
        <v/>
      </c>
      <c r="E67" s="5" t="n"/>
      <c r="F67" s="5" t="n"/>
      <c r="G67" s="5" t="n"/>
      <c r="H67" s="5" t="n"/>
      <c r="I67" s="5" t="n"/>
      <c r="J67" s="10" t="n"/>
      <c r="K67" s="10" t="n"/>
      <c r="L67" s="10" t="n"/>
      <c r="M67" s="5" t="n"/>
      <c r="N67" s="18" t="n"/>
      <c r="O67" s="5" t="n"/>
      <c r="P67" s="18" t="n"/>
      <c r="Q67" s="18" t="n"/>
      <c r="R67" s="10" t="n"/>
      <c r="S67" s="18" t="n"/>
      <c r="T67" s="5" t="n"/>
    </row>
    <row r="68" ht="30" customHeight="1">
      <c r="A68" s="10" t="inlineStr">
        <is>
          <t>DEF-067</t>
        </is>
      </c>
      <c r="B68" s="10" t="n"/>
      <c r="C68" s="5">
        <f>IF(B68="","",IFERROR(INDEX('Test Cases'!$B$2:$B$546,MATCH(B68,'Test Cases'!$A$2:$A$546,0)),""))</f>
        <v/>
      </c>
      <c r="D68" s="5">
        <f>IF(B68="","",IFERROR(INDEX('Test Cases'!$C$2:$C$546,MATCH(B68,'Test Cases'!$A$2:$A$546,0)),""))</f>
        <v/>
      </c>
      <c r="E68" s="5" t="n"/>
      <c r="F68" s="5" t="n"/>
      <c r="G68" s="5" t="n"/>
      <c r="H68" s="5" t="n"/>
      <c r="I68" s="5" t="n"/>
      <c r="J68" s="10" t="n"/>
      <c r="K68" s="10" t="n"/>
      <c r="L68" s="10" t="n"/>
      <c r="M68" s="5" t="n"/>
      <c r="N68" s="18" t="n"/>
      <c r="O68" s="5" t="n"/>
      <c r="P68" s="18" t="n"/>
      <c r="Q68" s="18" t="n"/>
      <c r="R68" s="10" t="n"/>
      <c r="S68" s="18" t="n"/>
      <c r="T68" s="5" t="n"/>
    </row>
    <row r="69" ht="30" customHeight="1">
      <c r="A69" s="10" t="inlineStr">
        <is>
          <t>DEF-068</t>
        </is>
      </c>
      <c r="B69" s="10" t="n"/>
      <c r="C69" s="5">
        <f>IF(B69="","",IFERROR(INDEX('Test Cases'!$B$2:$B$546,MATCH(B69,'Test Cases'!$A$2:$A$546,0)),""))</f>
        <v/>
      </c>
      <c r="D69" s="5">
        <f>IF(B69="","",IFERROR(INDEX('Test Cases'!$C$2:$C$546,MATCH(B69,'Test Cases'!$A$2:$A$546,0)),""))</f>
        <v/>
      </c>
      <c r="E69" s="5" t="n"/>
      <c r="F69" s="5" t="n"/>
      <c r="G69" s="5" t="n"/>
      <c r="H69" s="5" t="n"/>
      <c r="I69" s="5" t="n"/>
      <c r="J69" s="10" t="n"/>
      <c r="K69" s="10" t="n"/>
      <c r="L69" s="10" t="n"/>
      <c r="M69" s="5" t="n"/>
      <c r="N69" s="18" t="n"/>
      <c r="O69" s="5" t="n"/>
      <c r="P69" s="18" t="n"/>
      <c r="Q69" s="18" t="n"/>
      <c r="R69" s="10" t="n"/>
      <c r="S69" s="18" t="n"/>
      <c r="T69" s="5" t="n"/>
    </row>
    <row r="70" ht="30" customHeight="1">
      <c r="A70" s="10" t="inlineStr">
        <is>
          <t>DEF-069</t>
        </is>
      </c>
      <c r="B70" s="10" t="n"/>
      <c r="C70" s="5">
        <f>IF(B70="","",IFERROR(INDEX('Test Cases'!$B$2:$B$546,MATCH(B70,'Test Cases'!$A$2:$A$546,0)),""))</f>
        <v/>
      </c>
      <c r="D70" s="5">
        <f>IF(B70="","",IFERROR(INDEX('Test Cases'!$C$2:$C$546,MATCH(B70,'Test Cases'!$A$2:$A$546,0)),""))</f>
        <v/>
      </c>
      <c r="E70" s="5" t="n"/>
      <c r="F70" s="5" t="n"/>
      <c r="G70" s="5" t="n"/>
      <c r="H70" s="5" t="n"/>
      <c r="I70" s="5" t="n"/>
      <c r="J70" s="10" t="n"/>
      <c r="K70" s="10" t="n"/>
      <c r="L70" s="10" t="n"/>
      <c r="M70" s="5" t="n"/>
      <c r="N70" s="18" t="n"/>
      <c r="O70" s="5" t="n"/>
      <c r="P70" s="18" t="n"/>
      <c r="Q70" s="18" t="n"/>
      <c r="R70" s="10" t="n"/>
      <c r="S70" s="18" t="n"/>
      <c r="T70" s="5" t="n"/>
    </row>
    <row r="71" ht="30" customHeight="1">
      <c r="A71" s="10" t="inlineStr">
        <is>
          <t>DEF-070</t>
        </is>
      </c>
      <c r="B71" s="10" t="n"/>
      <c r="C71" s="5">
        <f>IF(B71="","",IFERROR(INDEX('Test Cases'!$B$2:$B$546,MATCH(B71,'Test Cases'!$A$2:$A$546,0)),""))</f>
        <v/>
      </c>
      <c r="D71" s="5">
        <f>IF(B71="","",IFERROR(INDEX('Test Cases'!$C$2:$C$546,MATCH(B71,'Test Cases'!$A$2:$A$546,0)),""))</f>
        <v/>
      </c>
      <c r="E71" s="5" t="n"/>
      <c r="F71" s="5" t="n"/>
      <c r="G71" s="5" t="n"/>
      <c r="H71" s="5" t="n"/>
      <c r="I71" s="5" t="n"/>
      <c r="J71" s="10" t="n"/>
      <c r="K71" s="10" t="n"/>
      <c r="L71" s="10" t="n"/>
      <c r="M71" s="5" t="n"/>
      <c r="N71" s="18" t="n"/>
      <c r="O71" s="5" t="n"/>
      <c r="P71" s="18" t="n"/>
      <c r="Q71" s="18" t="n"/>
      <c r="R71" s="10" t="n"/>
      <c r="S71" s="18" t="n"/>
      <c r="T71" s="5" t="n"/>
    </row>
    <row r="72" ht="30" customHeight="1">
      <c r="A72" s="10" t="inlineStr">
        <is>
          <t>DEF-071</t>
        </is>
      </c>
      <c r="B72" s="10" t="n"/>
      <c r="C72" s="5">
        <f>IF(B72="","",IFERROR(INDEX('Test Cases'!$B$2:$B$546,MATCH(B72,'Test Cases'!$A$2:$A$546,0)),""))</f>
        <v/>
      </c>
      <c r="D72" s="5">
        <f>IF(B72="","",IFERROR(INDEX('Test Cases'!$C$2:$C$546,MATCH(B72,'Test Cases'!$A$2:$A$546,0)),""))</f>
        <v/>
      </c>
      <c r="E72" s="5" t="n"/>
      <c r="F72" s="5" t="n"/>
      <c r="G72" s="5" t="n"/>
      <c r="H72" s="5" t="n"/>
      <c r="I72" s="5" t="n"/>
      <c r="J72" s="10" t="n"/>
      <c r="K72" s="10" t="n"/>
      <c r="L72" s="10" t="n"/>
      <c r="M72" s="5" t="n"/>
      <c r="N72" s="18" t="n"/>
      <c r="O72" s="5" t="n"/>
      <c r="P72" s="18" t="n"/>
      <c r="Q72" s="18" t="n"/>
      <c r="R72" s="10" t="n"/>
      <c r="S72" s="18" t="n"/>
      <c r="T72" s="5" t="n"/>
    </row>
    <row r="73" ht="30" customHeight="1">
      <c r="A73" s="10" t="inlineStr">
        <is>
          <t>DEF-072</t>
        </is>
      </c>
      <c r="B73" s="10" t="n"/>
      <c r="C73" s="5">
        <f>IF(B73="","",IFERROR(INDEX('Test Cases'!$B$2:$B$546,MATCH(B73,'Test Cases'!$A$2:$A$546,0)),""))</f>
        <v/>
      </c>
      <c r="D73" s="5">
        <f>IF(B73="","",IFERROR(INDEX('Test Cases'!$C$2:$C$546,MATCH(B73,'Test Cases'!$A$2:$A$546,0)),""))</f>
        <v/>
      </c>
      <c r="E73" s="5" t="n"/>
      <c r="F73" s="5" t="n"/>
      <c r="G73" s="5" t="n"/>
      <c r="H73" s="5" t="n"/>
      <c r="I73" s="5" t="n"/>
      <c r="J73" s="10" t="n"/>
      <c r="K73" s="10" t="n"/>
      <c r="L73" s="10" t="n"/>
      <c r="M73" s="5" t="n"/>
      <c r="N73" s="18" t="n"/>
      <c r="O73" s="5" t="n"/>
      <c r="P73" s="18" t="n"/>
      <c r="Q73" s="18" t="n"/>
      <c r="R73" s="10" t="n"/>
      <c r="S73" s="18" t="n"/>
      <c r="T73" s="5" t="n"/>
    </row>
    <row r="74" ht="30" customHeight="1">
      <c r="A74" s="10" t="inlineStr">
        <is>
          <t>DEF-073</t>
        </is>
      </c>
      <c r="B74" s="10" t="n"/>
      <c r="C74" s="5">
        <f>IF(B74="","",IFERROR(INDEX('Test Cases'!$B$2:$B$546,MATCH(B74,'Test Cases'!$A$2:$A$546,0)),""))</f>
        <v/>
      </c>
      <c r="D74" s="5">
        <f>IF(B74="","",IFERROR(INDEX('Test Cases'!$C$2:$C$546,MATCH(B74,'Test Cases'!$A$2:$A$546,0)),""))</f>
        <v/>
      </c>
      <c r="E74" s="5" t="n"/>
      <c r="F74" s="5" t="n"/>
      <c r="G74" s="5" t="n"/>
      <c r="H74" s="5" t="n"/>
      <c r="I74" s="5" t="n"/>
      <c r="J74" s="10" t="n"/>
      <c r="K74" s="10" t="n"/>
      <c r="L74" s="10" t="n"/>
      <c r="M74" s="5" t="n"/>
      <c r="N74" s="18" t="n"/>
      <c r="O74" s="5" t="n"/>
      <c r="P74" s="18" t="n"/>
      <c r="Q74" s="18" t="n"/>
      <c r="R74" s="10" t="n"/>
      <c r="S74" s="18" t="n"/>
      <c r="T74" s="5" t="n"/>
    </row>
    <row r="75" ht="30" customHeight="1">
      <c r="A75" s="10" t="inlineStr">
        <is>
          <t>DEF-074</t>
        </is>
      </c>
      <c r="B75" s="10" t="n"/>
      <c r="C75" s="5">
        <f>IF(B75="","",IFERROR(INDEX('Test Cases'!$B$2:$B$546,MATCH(B75,'Test Cases'!$A$2:$A$546,0)),""))</f>
        <v/>
      </c>
      <c r="D75" s="5">
        <f>IF(B75="","",IFERROR(INDEX('Test Cases'!$C$2:$C$546,MATCH(B75,'Test Cases'!$A$2:$A$546,0)),""))</f>
        <v/>
      </c>
      <c r="E75" s="5" t="n"/>
      <c r="F75" s="5" t="n"/>
      <c r="G75" s="5" t="n"/>
      <c r="H75" s="5" t="n"/>
      <c r="I75" s="5" t="n"/>
      <c r="J75" s="10" t="n"/>
      <c r="K75" s="10" t="n"/>
      <c r="L75" s="10" t="n"/>
      <c r="M75" s="5" t="n"/>
      <c r="N75" s="18" t="n"/>
      <c r="O75" s="5" t="n"/>
      <c r="P75" s="18" t="n"/>
      <c r="Q75" s="18" t="n"/>
      <c r="R75" s="10" t="n"/>
      <c r="S75" s="18" t="n"/>
      <c r="T75" s="5" t="n"/>
    </row>
    <row r="76" ht="30" customHeight="1">
      <c r="A76" s="10" t="inlineStr">
        <is>
          <t>DEF-075</t>
        </is>
      </c>
      <c r="B76" s="10" t="n"/>
      <c r="C76" s="5">
        <f>IF(B76="","",IFERROR(INDEX('Test Cases'!$B$2:$B$546,MATCH(B76,'Test Cases'!$A$2:$A$546,0)),""))</f>
        <v/>
      </c>
      <c r="D76" s="5">
        <f>IF(B76="","",IFERROR(INDEX('Test Cases'!$C$2:$C$546,MATCH(B76,'Test Cases'!$A$2:$A$546,0)),""))</f>
        <v/>
      </c>
      <c r="E76" s="5" t="n"/>
      <c r="F76" s="5" t="n"/>
      <c r="G76" s="5" t="n"/>
      <c r="H76" s="5" t="n"/>
      <c r="I76" s="5" t="n"/>
      <c r="J76" s="10" t="n"/>
      <c r="K76" s="10" t="n"/>
      <c r="L76" s="10" t="n"/>
      <c r="M76" s="5" t="n"/>
      <c r="N76" s="18" t="n"/>
      <c r="O76" s="5" t="n"/>
      <c r="P76" s="18" t="n"/>
      <c r="Q76" s="18" t="n"/>
      <c r="R76" s="10" t="n"/>
      <c r="S76" s="18" t="n"/>
      <c r="T76" s="5" t="n"/>
    </row>
    <row r="77" ht="30" customHeight="1">
      <c r="A77" s="10" t="inlineStr">
        <is>
          <t>DEF-076</t>
        </is>
      </c>
      <c r="B77" s="10" t="n"/>
      <c r="C77" s="5">
        <f>IF(B77="","",IFERROR(INDEX('Test Cases'!$B$2:$B$546,MATCH(B77,'Test Cases'!$A$2:$A$546,0)),""))</f>
        <v/>
      </c>
      <c r="D77" s="5">
        <f>IF(B77="","",IFERROR(INDEX('Test Cases'!$C$2:$C$546,MATCH(B77,'Test Cases'!$A$2:$A$546,0)),""))</f>
        <v/>
      </c>
      <c r="E77" s="5" t="n"/>
      <c r="F77" s="5" t="n"/>
      <c r="G77" s="5" t="n"/>
      <c r="H77" s="5" t="n"/>
      <c r="I77" s="5" t="n"/>
      <c r="J77" s="10" t="n"/>
      <c r="K77" s="10" t="n"/>
      <c r="L77" s="10" t="n"/>
      <c r="M77" s="5" t="n"/>
      <c r="N77" s="18" t="n"/>
      <c r="O77" s="5" t="n"/>
      <c r="P77" s="18" t="n"/>
      <c r="Q77" s="18" t="n"/>
      <c r="R77" s="10" t="n"/>
      <c r="S77" s="18" t="n"/>
      <c r="T77" s="5" t="n"/>
    </row>
    <row r="78" ht="30" customHeight="1">
      <c r="A78" s="10" t="inlineStr">
        <is>
          <t>DEF-077</t>
        </is>
      </c>
      <c r="B78" s="10" t="n"/>
      <c r="C78" s="5">
        <f>IF(B78="","",IFERROR(INDEX('Test Cases'!$B$2:$B$546,MATCH(B78,'Test Cases'!$A$2:$A$546,0)),""))</f>
        <v/>
      </c>
      <c r="D78" s="5">
        <f>IF(B78="","",IFERROR(INDEX('Test Cases'!$C$2:$C$546,MATCH(B78,'Test Cases'!$A$2:$A$546,0)),""))</f>
        <v/>
      </c>
      <c r="E78" s="5" t="n"/>
      <c r="F78" s="5" t="n"/>
      <c r="G78" s="5" t="n"/>
      <c r="H78" s="5" t="n"/>
      <c r="I78" s="5" t="n"/>
      <c r="J78" s="10" t="n"/>
      <c r="K78" s="10" t="n"/>
      <c r="L78" s="10" t="n"/>
      <c r="M78" s="5" t="n"/>
      <c r="N78" s="18" t="n"/>
      <c r="O78" s="5" t="n"/>
      <c r="P78" s="18" t="n"/>
      <c r="Q78" s="18" t="n"/>
      <c r="R78" s="10" t="n"/>
      <c r="S78" s="18" t="n"/>
      <c r="T78" s="5" t="n"/>
    </row>
    <row r="79" ht="30" customHeight="1">
      <c r="A79" s="10" t="inlineStr">
        <is>
          <t>DEF-078</t>
        </is>
      </c>
      <c r="B79" s="10" t="n"/>
      <c r="C79" s="5">
        <f>IF(B79="","",IFERROR(INDEX('Test Cases'!$B$2:$B$546,MATCH(B79,'Test Cases'!$A$2:$A$546,0)),""))</f>
        <v/>
      </c>
      <c r="D79" s="5">
        <f>IF(B79="","",IFERROR(INDEX('Test Cases'!$C$2:$C$546,MATCH(B79,'Test Cases'!$A$2:$A$546,0)),""))</f>
        <v/>
      </c>
      <c r="E79" s="5" t="n"/>
      <c r="F79" s="5" t="n"/>
      <c r="G79" s="5" t="n"/>
      <c r="H79" s="5" t="n"/>
      <c r="I79" s="5" t="n"/>
      <c r="J79" s="10" t="n"/>
      <c r="K79" s="10" t="n"/>
      <c r="L79" s="10" t="n"/>
      <c r="M79" s="5" t="n"/>
      <c r="N79" s="18" t="n"/>
      <c r="O79" s="5" t="n"/>
      <c r="P79" s="18" t="n"/>
      <c r="Q79" s="18" t="n"/>
      <c r="R79" s="10" t="n"/>
      <c r="S79" s="18" t="n"/>
      <c r="T79" s="5" t="n"/>
    </row>
    <row r="80" ht="30" customHeight="1">
      <c r="A80" s="10" t="inlineStr">
        <is>
          <t>DEF-079</t>
        </is>
      </c>
      <c r="B80" s="10" t="n"/>
      <c r="C80" s="5">
        <f>IF(B80="","",IFERROR(INDEX('Test Cases'!$B$2:$B$546,MATCH(B80,'Test Cases'!$A$2:$A$546,0)),""))</f>
        <v/>
      </c>
      <c r="D80" s="5">
        <f>IF(B80="","",IFERROR(INDEX('Test Cases'!$C$2:$C$546,MATCH(B80,'Test Cases'!$A$2:$A$546,0)),""))</f>
        <v/>
      </c>
      <c r="E80" s="5" t="n"/>
      <c r="F80" s="5" t="n"/>
      <c r="G80" s="5" t="n"/>
      <c r="H80" s="5" t="n"/>
      <c r="I80" s="5" t="n"/>
      <c r="J80" s="10" t="n"/>
      <c r="K80" s="10" t="n"/>
      <c r="L80" s="10" t="n"/>
      <c r="M80" s="5" t="n"/>
      <c r="N80" s="18" t="n"/>
      <c r="O80" s="5" t="n"/>
      <c r="P80" s="18" t="n"/>
      <c r="Q80" s="18" t="n"/>
      <c r="R80" s="10" t="n"/>
      <c r="S80" s="18" t="n"/>
      <c r="T80" s="5" t="n"/>
    </row>
    <row r="81" ht="30" customHeight="1">
      <c r="A81" s="10" t="inlineStr">
        <is>
          <t>DEF-080</t>
        </is>
      </c>
      <c r="B81" s="10" t="n"/>
      <c r="C81" s="5">
        <f>IF(B81="","",IFERROR(INDEX('Test Cases'!$B$2:$B$546,MATCH(B81,'Test Cases'!$A$2:$A$546,0)),""))</f>
        <v/>
      </c>
      <c r="D81" s="5">
        <f>IF(B81="","",IFERROR(INDEX('Test Cases'!$C$2:$C$546,MATCH(B81,'Test Cases'!$A$2:$A$546,0)),""))</f>
        <v/>
      </c>
      <c r="E81" s="5" t="n"/>
      <c r="F81" s="5" t="n"/>
      <c r="G81" s="5" t="n"/>
      <c r="H81" s="5" t="n"/>
      <c r="I81" s="5" t="n"/>
      <c r="J81" s="10" t="n"/>
      <c r="K81" s="10" t="n"/>
      <c r="L81" s="10" t="n"/>
      <c r="M81" s="5" t="n"/>
      <c r="N81" s="18" t="n"/>
      <c r="O81" s="5" t="n"/>
      <c r="P81" s="18" t="n"/>
      <c r="Q81" s="18" t="n"/>
      <c r="R81" s="10" t="n"/>
      <c r="S81" s="18" t="n"/>
      <c r="T81" s="5" t="n"/>
    </row>
    <row r="82" ht="30" customHeight="1">
      <c r="A82" s="10" t="inlineStr">
        <is>
          <t>DEF-081</t>
        </is>
      </c>
      <c r="B82" s="10" t="n"/>
      <c r="C82" s="5">
        <f>IF(B82="","",IFERROR(INDEX('Test Cases'!$B$2:$B$546,MATCH(B82,'Test Cases'!$A$2:$A$546,0)),""))</f>
        <v/>
      </c>
      <c r="D82" s="5">
        <f>IF(B82="","",IFERROR(INDEX('Test Cases'!$C$2:$C$546,MATCH(B82,'Test Cases'!$A$2:$A$546,0)),""))</f>
        <v/>
      </c>
      <c r="E82" s="5" t="n"/>
      <c r="F82" s="5" t="n"/>
      <c r="G82" s="5" t="n"/>
      <c r="H82" s="5" t="n"/>
      <c r="I82" s="5" t="n"/>
      <c r="J82" s="10" t="n"/>
      <c r="K82" s="10" t="n"/>
      <c r="L82" s="10" t="n"/>
      <c r="M82" s="5" t="n"/>
      <c r="N82" s="18" t="n"/>
      <c r="O82" s="5" t="n"/>
      <c r="P82" s="18" t="n"/>
      <c r="Q82" s="18" t="n"/>
      <c r="R82" s="10" t="n"/>
      <c r="S82" s="18" t="n"/>
      <c r="T82" s="5" t="n"/>
    </row>
    <row r="83" ht="30" customHeight="1">
      <c r="A83" s="10" t="inlineStr">
        <is>
          <t>DEF-082</t>
        </is>
      </c>
      <c r="B83" s="10" t="n"/>
      <c r="C83" s="5">
        <f>IF(B83="","",IFERROR(INDEX('Test Cases'!$B$2:$B$546,MATCH(B83,'Test Cases'!$A$2:$A$546,0)),""))</f>
        <v/>
      </c>
      <c r="D83" s="5">
        <f>IF(B83="","",IFERROR(INDEX('Test Cases'!$C$2:$C$546,MATCH(B83,'Test Cases'!$A$2:$A$546,0)),""))</f>
        <v/>
      </c>
      <c r="E83" s="5" t="n"/>
      <c r="F83" s="5" t="n"/>
      <c r="G83" s="5" t="n"/>
      <c r="H83" s="5" t="n"/>
      <c r="I83" s="5" t="n"/>
      <c r="J83" s="10" t="n"/>
      <c r="K83" s="10" t="n"/>
      <c r="L83" s="10" t="n"/>
      <c r="M83" s="5" t="n"/>
      <c r="N83" s="18" t="n"/>
      <c r="O83" s="5" t="n"/>
      <c r="P83" s="18" t="n"/>
      <c r="Q83" s="18" t="n"/>
      <c r="R83" s="10" t="n"/>
      <c r="S83" s="18" t="n"/>
      <c r="T83" s="5" t="n"/>
    </row>
    <row r="84" ht="30" customHeight="1">
      <c r="A84" s="10" t="inlineStr">
        <is>
          <t>DEF-083</t>
        </is>
      </c>
      <c r="B84" s="10" t="n"/>
      <c r="C84" s="5">
        <f>IF(B84="","",IFERROR(INDEX('Test Cases'!$B$2:$B$546,MATCH(B84,'Test Cases'!$A$2:$A$546,0)),""))</f>
        <v/>
      </c>
      <c r="D84" s="5">
        <f>IF(B84="","",IFERROR(INDEX('Test Cases'!$C$2:$C$546,MATCH(B84,'Test Cases'!$A$2:$A$546,0)),""))</f>
        <v/>
      </c>
      <c r="E84" s="5" t="n"/>
      <c r="F84" s="5" t="n"/>
      <c r="G84" s="5" t="n"/>
      <c r="H84" s="5" t="n"/>
      <c r="I84" s="5" t="n"/>
      <c r="J84" s="10" t="n"/>
      <c r="K84" s="10" t="n"/>
      <c r="L84" s="10" t="n"/>
      <c r="M84" s="5" t="n"/>
      <c r="N84" s="18" t="n"/>
      <c r="O84" s="5" t="n"/>
      <c r="P84" s="18" t="n"/>
      <c r="Q84" s="18" t="n"/>
      <c r="R84" s="10" t="n"/>
      <c r="S84" s="18" t="n"/>
      <c r="T84" s="5" t="n"/>
    </row>
    <row r="85" ht="30" customHeight="1">
      <c r="A85" s="10" t="inlineStr">
        <is>
          <t>DEF-084</t>
        </is>
      </c>
      <c r="B85" s="10" t="n"/>
      <c r="C85" s="5">
        <f>IF(B85="","",IFERROR(INDEX('Test Cases'!$B$2:$B$546,MATCH(B85,'Test Cases'!$A$2:$A$546,0)),""))</f>
        <v/>
      </c>
      <c r="D85" s="5">
        <f>IF(B85="","",IFERROR(INDEX('Test Cases'!$C$2:$C$546,MATCH(B85,'Test Cases'!$A$2:$A$546,0)),""))</f>
        <v/>
      </c>
      <c r="E85" s="5" t="n"/>
      <c r="F85" s="5" t="n"/>
      <c r="G85" s="5" t="n"/>
      <c r="H85" s="5" t="n"/>
      <c r="I85" s="5" t="n"/>
      <c r="J85" s="10" t="n"/>
      <c r="K85" s="10" t="n"/>
      <c r="L85" s="10" t="n"/>
      <c r="M85" s="5" t="n"/>
      <c r="N85" s="18" t="n"/>
      <c r="O85" s="5" t="n"/>
      <c r="P85" s="18" t="n"/>
      <c r="Q85" s="18" t="n"/>
      <c r="R85" s="10" t="n"/>
      <c r="S85" s="18" t="n"/>
      <c r="T85" s="5" t="n"/>
    </row>
    <row r="86" ht="30" customHeight="1">
      <c r="A86" s="10" t="inlineStr">
        <is>
          <t>DEF-085</t>
        </is>
      </c>
      <c r="B86" s="10" t="n"/>
      <c r="C86" s="5">
        <f>IF(B86="","",IFERROR(INDEX('Test Cases'!$B$2:$B$546,MATCH(B86,'Test Cases'!$A$2:$A$546,0)),""))</f>
        <v/>
      </c>
      <c r="D86" s="5">
        <f>IF(B86="","",IFERROR(INDEX('Test Cases'!$C$2:$C$546,MATCH(B86,'Test Cases'!$A$2:$A$546,0)),""))</f>
        <v/>
      </c>
      <c r="E86" s="5" t="n"/>
      <c r="F86" s="5" t="n"/>
      <c r="G86" s="5" t="n"/>
      <c r="H86" s="5" t="n"/>
      <c r="I86" s="5" t="n"/>
      <c r="J86" s="10" t="n"/>
      <c r="K86" s="10" t="n"/>
      <c r="L86" s="10" t="n"/>
      <c r="M86" s="5" t="n"/>
      <c r="N86" s="18" t="n"/>
      <c r="O86" s="5" t="n"/>
      <c r="P86" s="18" t="n"/>
      <c r="Q86" s="18" t="n"/>
      <c r="R86" s="10" t="n"/>
      <c r="S86" s="18" t="n"/>
      <c r="T86" s="5" t="n"/>
    </row>
    <row r="87" ht="30" customHeight="1">
      <c r="A87" s="10" t="inlineStr">
        <is>
          <t>DEF-086</t>
        </is>
      </c>
      <c r="B87" s="10" t="n"/>
      <c r="C87" s="5">
        <f>IF(B87="","",IFERROR(INDEX('Test Cases'!$B$2:$B$546,MATCH(B87,'Test Cases'!$A$2:$A$546,0)),""))</f>
        <v/>
      </c>
      <c r="D87" s="5">
        <f>IF(B87="","",IFERROR(INDEX('Test Cases'!$C$2:$C$546,MATCH(B87,'Test Cases'!$A$2:$A$546,0)),""))</f>
        <v/>
      </c>
      <c r="E87" s="5" t="n"/>
      <c r="F87" s="5" t="n"/>
      <c r="G87" s="5" t="n"/>
      <c r="H87" s="5" t="n"/>
      <c r="I87" s="5" t="n"/>
      <c r="J87" s="10" t="n"/>
      <c r="K87" s="10" t="n"/>
      <c r="L87" s="10" t="n"/>
      <c r="M87" s="5" t="n"/>
      <c r="N87" s="18" t="n"/>
      <c r="O87" s="5" t="n"/>
      <c r="P87" s="18" t="n"/>
      <c r="Q87" s="18" t="n"/>
      <c r="R87" s="10" t="n"/>
      <c r="S87" s="18" t="n"/>
      <c r="T87" s="5" t="n"/>
    </row>
    <row r="88" ht="30" customHeight="1">
      <c r="A88" s="10" t="inlineStr">
        <is>
          <t>DEF-087</t>
        </is>
      </c>
      <c r="B88" s="10" t="n"/>
      <c r="C88" s="5">
        <f>IF(B88="","",IFERROR(INDEX('Test Cases'!$B$2:$B$546,MATCH(B88,'Test Cases'!$A$2:$A$546,0)),""))</f>
        <v/>
      </c>
      <c r="D88" s="5">
        <f>IF(B88="","",IFERROR(INDEX('Test Cases'!$C$2:$C$546,MATCH(B88,'Test Cases'!$A$2:$A$546,0)),""))</f>
        <v/>
      </c>
      <c r="E88" s="5" t="n"/>
      <c r="F88" s="5" t="n"/>
      <c r="G88" s="5" t="n"/>
      <c r="H88" s="5" t="n"/>
      <c r="I88" s="5" t="n"/>
      <c r="J88" s="10" t="n"/>
      <c r="K88" s="10" t="n"/>
      <c r="L88" s="10" t="n"/>
      <c r="M88" s="5" t="n"/>
      <c r="N88" s="18" t="n"/>
      <c r="O88" s="5" t="n"/>
      <c r="P88" s="18" t="n"/>
      <c r="Q88" s="18" t="n"/>
      <c r="R88" s="10" t="n"/>
      <c r="S88" s="18" t="n"/>
      <c r="T88" s="5" t="n"/>
    </row>
    <row r="89" ht="30" customHeight="1">
      <c r="A89" s="10" t="inlineStr">
        <is>
          <t>DEF-088</t>
        </is>
      </c>
      <c r="B89" s="10" t="n"/>
      <c r="C89" s="5">
        <f>IF(B89="","",IFERROR(INDEX('Test Cases'!$B$2:$B$546,MATCH(B89,'Test Cases'!$A$2:$A$546,0)),""))</f>
        <v/>
      </c>
      <c r="D89" s="5">
        <f>IF(B89="","",IFERROR(INDEX('Test Cases'!$C$2:$C$546,MATCH(B89,'Test Cases'!$A$2:$A$546,0)),""))</f>
        <v/>
      </c>
      <c r="E89" s="5" t="n"/>
      <c r="F89" s="5" t="n"/>
      <c r="G89" s="5" t="n"/>
      <c r="H89" s="5" t="n"/>
      <c r="I89" s="5" t="n"/>
      <c r="J89" s="10" t="n"/>
      <c r="K89" s="10" t="n"/>
      <c r="L89" s="10" t="n"/>
      <c r="M89" s="5" t="n"/>
      <c r="N89" s="18" t="n"/>
      <c r="O89" s="5" t="n"/>
      <c r="P89" s="18" t="n"/>
      <c r="Q89" s="18" t="n"/>
      <c r="R89" s="10" t="n"/>
      <c r="S89" s="18" t="n"/>
      <c r="T89" s="5" t="n"/>
    </row>
    <row r="90" ht="30" customHeight="1">
      <c r="A90" s="10" t="inlineStr">
        <is>
          <t>DEF-089</t>
        </is>
      </c>
      <c r="B90" s="10" t="n"/>
      <c r="C90" s="5">
        <f>IF(B90="","",IFERROR(INDEX('Test Cases'!$B$2:$B$546,MATCH(B90,'Test Cases'!$A$2:$A$546,0)),""))</f>
        <v/>
      </c>
      <c r="D90" s="5">
        <f>IF(B90="","",IFERROR(INDEX('Test Cases'!$C$2:$C$546,MATCH(B90,'Test Cases'!$A$2:$A$546,0)),""))</f>
        <v/>
      </c>
      <c r="E90" s="5" t="n"/>
      <c r="F90" s="5" t="n"/>
      <c r="G90" s="5" t="n"/>
      <c r="H90" s="5" t="n"/>
      <c r="I90" s="5" t="n"/>
      <c r="J90" s="10" t="n"/>
      <c r="K90" s="10" t="n"/>
      <c r="L90" s="10" t="n"/>
      <c r="M90" s="5" t="n"/>
      <c r="N90" s="18" t="n"/>
      <c r="O90" s="5" t="n"/>
      <c r="P90" s="18" t="n"/>
      <c r="Q90" s="18" t="n"/>
      <c r="R90" s="10" t="n"/>
      <c r="S90" s="18" t="n"/>
      <c r="T90" s="5" t="n"/>
    </row>
    <row r="91" ht="30" customHeight="1">
      <c r="A91" s="10" t="inlineStr">
        <is>
          <t>DEF-090</t>
        </is>
      </c>
      <c r="B91" s="10" t="n"/>
      <c r="C91" s="5">
        <f>IF(B91="","",IFERROR(INDEX('Test Cases'!$B$2:$B$546,MATCH(B91,'Test Cases'!$A$2:$A$546,0)),""))</f>
        <v/>
      </c>
      <c r="D91" s="5">
        <f>IF(B91="","",IFERROR(INDEX('Test Cases'!$C$2:$C$546,MATCH(B91,'Test Cases'!$A$2:$A$546,0)),""))</f>
        <v/>
      </c>
      <c r="E91" s="5" t="n"/>
      <c r="F91" s="5" t="n"/>
      <c r="G91" s="5" t="n"/>
      <c r="H91" s="5" t="n"/>
      <c r="I91" s="5" t="n"/>
      <c r="J91" s="10" t="n"/>
      <c r="K91" s="10" t="n"/>
      <c r="L91" s="10" t="n"/>
      <c r="M91" s="5" t="n"/>
      <c r="N91" s="18" t="n"/>
      <c r="O91" s="5" t="n"/>
      <c r="P91" s="18" t="n"/>
      <c r="Q91" s="18" t="n"/>
      <c r="R91" s="10" t="n"/>
      <c r="S91" s="18" t="n"/>
      <c r="T91" s="5" t="n"/>
    </row>
    <row r="92" ht="30" customHeight="1">
      <c r="A92" s="10" t="inlineStr">
        <is>
          <t>DEF-091</t>
        </is>
      </c>
      <c r="B92" s="10" t="n"/>
      <c r="C92" s="5">
        <f>IF(B92="","",IFERROR(INDEX('Test Cases'!$B$2:$B$546,MATCH(B92,'Test Cases'!$A$2:$A$546,0)),""))</f>
        <v/>
      </c>
      <c r="D92" s="5">
        <f>IF(B92="","",IFERROR(INDEX('Test Cases'!$C$2:$C$546,MATCH(B92,'Test Cases'!$A$2:$A$546,0)),""))</f>
        <v/>
      </c>
      <c r="E92" s="5" t="n"/>
      <c r="F92" s="5" t="n"/>
      <c r="G92" s="5" t="n"/>
      <c r="H92" s="5" t="n"/>
      <c r="I92" s="5" t="n"/>
      <c r="J92" s="10" t="n"/>
      <c r="K92" s="10" t="n"/>
      <c r="L92" s="10" t="n"/>
      <c r="M92" s="5" t="n"/>
      <c r="N92" s="18" t="n"/>
      <c r="O92" s="5" t="n"/>
      <c r="P92" s="18" t="n"/>
      <c r="Q92" s="18" t="n"/>
      <c r="R92" s="10" t="n"/>
      <c r="S92" s="18" t="n"/>
      <c r="T92" s="5" t="n"/>
    </row>
    <row r="93" ht="30" customHeight="1">
      <c r="A93" s="10" t="inlineStr">
        <is>
          <t>DEF-092</t>
        </is>
      </c>
      <c r="B93" s="10" t="n"/>
      <c r="C93" s="5">
        <f>IF(B93="","",IFERROR(INDEX('Test Cases'!$B$2:$B$546,MATCH(B93,'Test Cases'!$A$2:$A$546,0)),""))</f>
        <v/>
      </c>
      <c r="D93" s="5">
        <f>IF(B93="","",IFERROR(INDEX('Test Cases'!$C$2:$C$546,MATCH(B93,'Test Cases'!$A$2:$A$546,0)),""))</f>
        <v/>
      </c>
      <c r="E93" s="5" t="n"/>
      <c r="F93" s="5" t="n"/>
      <c r="G93" s="5" t="n"/>
      <c r="H93" s="5" t="n"/>
      <c r="I93" s="5" t="n"/>
      <c r="J93" s="10" t="n"/>
      <c r="K93" s="10" t="n"/>
      <c r="L93" s="10" t="n"/>
      <c r="M93" s="5" t="n"/>
      <c r="N93" s="18" t="n"/>
      <c r="O93" s="5" t="n"/>
      <c r="P93" s="18" t="n"/>
      <c r="Q93" s="18" t="n"/>
      <c r="R93" s="10" t="n"/>
      <c r="S93" s="18" t="n"/>
      <c r="T93" s="5" t="n"/>
    </row>
    <row r="94" ht="30" customHeight="1">
      <c r="A94" s="10" t="inlineStr">
        <is>
          <t>DEF-093</t>
        </is>
      </c>
      <c r="B94" s="10" t="n"/>
      <c r="C94" s="5">
        <f>IF(B94="","",IFERROR(INDEX('Test Cases'!$B$2:$B$546,MATCH(B94,'Test Cases'!$A$2:$A$546,0)),""))</f>
        <v/>
      </c>
      <c r="D94" s="5">
        <f>IF(B94="","",IFERROR(INDEX('Test Cases'!$C$2:$C$546,MATCH(B94,'Test Cases'!$A$2:$A$546,0)),""))</f>
        <v/>
      </c>
      <c r="E94" s="5" t="n"/>
      <c r="F94" s="5" t="n"/>
      <c r="G94" s="5" t="n"/>
      <c r="H94" s="5" t="n"/>
      <c r="I94" s="5" t="n"/>
      <c r="J94" s="10" t="n"/>
      <c r="K94" s="10" t="n"/>
      <c r="L94" s="10" t="n"/>
      <c r="M94" s="5" t="n"/>
      <c r="N94" s="18" t="n"/>
      <c r="O94" s="5" t="n"/>
      <c r="P94" s="18" t="n"/>
      <c r="Q94" s="18" t="n"/>
      <c r="R94" s="10" t="n"/>
      <c r="S94" s="18" t="n"/>
      <c r="T94" s="5" t="n"/>
    </row>
    <row r="95" ht="30" customHeight="1">
      <c r="A95" s="10" t="inlineStr">
        <is>
          <t>DEF-094</t>
        </is>
      </c>
      <c r="B95" s="10" t="n"/>
      <c r="C95" s="5">
        <f>IF(B95="","",IFERROR(INDEX('Test Cases'!$B$2:$B$546,MATCH(B95,'Test Cases'!$A$2:$A$546,0)),""))</f>
        <v/>
      </c>
      <c r="D95" s="5">
        <f>IF(B95="","",IFERROR(INDEX('Test Cases'!$C$2:$C$546,MATCH(B95,'Test Cases'!$A$2:$A$546,0)),""))</f>
        <v/>
      </c>
      <c r="E95" s="5" t="n"/>
      <c r="F95" s="5" t="n"/>
      <c r="G95" s="5" t="n"/>
      <c r="H95" s="5" t="n"/>
      <c r="I95" s="5" t="n"/>
      <c r="J95" s="10" t="n"/>
      <c r="K95" s="10" t="n"/>
      <c r="L95" s="10" t="n"/>
      <c r="M95" s="5" t="n"/>
      <c r="N95" s="18" t="n"/>
      <c r="O95" s="5" t="n"/>
      <c r="P95" s="18" t="n"/>
      <c r="Q95" s="18" t="n"/>
      <c r="R95" s="10" t="n"/>
      <c r="S95" s="18" t="n"/>
      <c r="T95" s="5" t="n"/>
    </row>
    <row r="96" ht="30" customHeight="1">
      <c r="A96" s="10" t="inlineStr">
        <is>
          <t>DEF-095</t>
        </is>
      </c>
      <c r="B96" s="10" t="n"/>
      <c r="C96" s="5">
        <f>IF(B96="","",IFERROR(INDEX('Test Cases'!$B$2:$B$546,MATCH(B96,'Test Cases'!$A$2:$A$546,0)),""))</f>
        <v/>
      </c>
      <c r="D96" s="5">
        <f>IF(B96="","",IFERROR(INDEX('Test Cases'!$C$2:$C$546,MATCH(B96,'Test Cases'!$A$2:$A$546,0)),""))</f>
        <v/>
      </c>
      <c r="E96" s="5" t="n"/>
      <c r="F96" s="5" t="n"/>
      <c r="G96" s="5" t="n"/>
      <c r="H96" s="5" t="n"/>
      <c r="I96" s="5" t="n"/>
      <c r="J96" s="10" t="n"/>
      <c r="K96" s="10" t="n"/>
      <c r="L96" s="10" t="n"/>
      <c r="M96" s="5" t="n"/>
      <c r="N96" s="18" t="n"/>
      <c r="O96" s="5" t="n"/>
      <c r="P96" s="18" t="n"/>
      <c r="Q96" s="18" t="n"/>
      <c r="R96" s="10" t="n"/>
      <c r="S96" s="18" t="n"/>
      <c r="T96" s="5" t="n"/>
    </row>
    <row r="97" ht="30" customHeight="1">
      <c r="A97" s="10" t="inlineStr">
        <is>
          <t>DEF-096</t>
        </is>
      </c>
      <c r="B97" s="10" t="n"/>
      <c r="C97" s="5">
        <f>IF(B97="","",IFERROR(INDEX('Test Cases'!$B$2:$B$546,MATCH(B97,'Test Cases'!$A$2:$A$546,0)),""))</f>
        <v/>
      </c>
      <c r="D97" s="5">
        <f>IF(B97="","",IFERROR(INDEX('Test Cases'!$C$2:$C$546,MATCH(B97,'Test Cases'!$A$2:$A$546,0)),""))</f>
        <v/>
      </c>
      <c r="E97" s="5" t="n"/>
      <c r="F97" s="5" t="n"/>
      <c r="G97" s="5" t="n"/>
      <c r="H97" s="5" t="n"/>
      <c r="I97" s="5" t="n"/>
      <c r="J97" s="10" t="n"/>
      <c r="K97" s="10" t="n"/>
      <c r="L97" s="10" t="n"/>
      <c r="M97" s="5" t="n"/>
      <c r="N97" s="18" t="n"/>
      <c r="O97" s="5" t="n"/>
      <c r="P97" s="18" t="n"/>
      <c r="Q97" s="18" t="n"/>
      <c r="R97" s="10" t="n"/>
      <c r="S97" s="18" t="n"/>
      <c r="T97" s="5" t="n"/>
    </row>
    <row r="98" ht="30" customHeight="1">
      <c r="A98" s="10" t="inlineStr">
        <is>
          <t>DEF-097</t>
        </is>
      </c>
      <c r="B98" s="10" t="n"/>
      <c r="C98" s="5">
        <f>IF(B98="","",IFERROR(INDEX('Test Cases'!$B$2:$B$546,MATCH(B98,'Test Cases'!$A$2:$A$546,0)),""))</f>
        <v/>
      </c>
      <c r="D98" s="5">
        <f>IF(B98="","",IFERROR(INDEX('Test Cases'!$C$2:$C$546,MATCH(B98,'Test Cases'!$A$2:$A$546,0)),""))</f>
        <v/>
      </c>
      <c r="E98" s="5" t="n"/>
      <c r="F98" s="5" t="n"/>
      <c r="G98" s="5" t="n"/>
      <c r="H98" s="5" t="n"/>
      <c r="I98" s="5" t="n"/>
      <c r="J98" s="10" t="n"/>
      <c r="K98" s="10" t="n"/>
      <c r="L98" s="10" t="n"/>
      <c r="M98" s="5" t="n"/>
      <c r="N98" s="18" t="n"/>
      <c r="O98" s="5" t="n"/>
      <c r="P98" s="18" t="n"/>
      <c r="Q98" s="18" t="n"/>
      <c r="R98" s="10" t="n"/>
      <c r="S98" s="18" t="n"/>
      <c r="T98" s="5" t="n"/>
    </row>
    <row r="99" ht="30" customHeight="1">
      <c r="A99" s="10" t="inlineStr">
        <is>
          <t>DEF-098</t>
        </is>
      </c>
      <c r="B99" s="10" t="n"/>
      <c r="C99" s="5">
        <f>IF(B99="","",IFERROR(INDEX('Test Cases'!$B$2:$B$546,MATCH(B99,'Test Cases'!$A$2:$A$546,0)),""))</f>
        <v/>
      </c>
      <c r="D99" s="5">
        <f>IF(B99="","",IFERROR(INDEX('Test Cases'!$C$2:$C$546,MATCH(B99,'Test Cases'!$A$2:$A$546,0)),""))</f>
        <v/>
      </c>
      <c r="E99" s="5" t="n"/>
      <c r="F99" s="5" t="n"/>
      <c r="G99" s="5" t="n"/>
      <c r="H99" s="5" t="n"/>
      <c r="I99" s="5" t="n"/>
      <c r="J99" s="10" t="n"/>
      <c r="K99" s="10" t="n"/>
      <c r="L99" s="10" t="n"/>
      <c r="M99" s="5" t="n"/>
      <c r="N99" s="18" t="n"/>
      <c r="O99" s="5" t="n"/>
      <c r="P99" s="18" t="n"/>
      <c r="Q99" s="18" t="n"/>
      <c r="R99" s="10" t="n"/>
      <c r="S99" s="18" t="n"/>
      <c r="T99" s="5" t="n"/>
    </row>
    <row r="100" ht="30" customHeight="1">
      <c r="A100" s="10" t="inlineStr">
        <is>
          <t>DEF-099</t>
        </is>
      </c>
      <c r="B100" s="10" t="n"/>
      <c r="C100" s="5">
        <f>IF(B100="","",IFERROR(INDEX('Test Cases'!$B$2:$B$546,MATCH(B100,'Test Cases'!$A$2:$A$546,0)),""))</f>
        <v/>
      </c>
      <c r="D100" s="5">
        <f>IF(B100="","",IFERROR(INDEX('Test Cases'!$C$2:$C$546,MATCH(B100,'Test Cases'!$A$2:$A$546,0)),""))</f>
        <v/>
      </c>
      <c r="E100" s="5" t="n"/>
      <c r="F100" s="5" t="n"/>
      <c r="G100" s="5" t="n"/>
      <c r="H100" s="5" t="n"/>
      <c r="I100" s="5" t="n"/>
      <c r="J100" s="10" t="n"/>
      <c r="K100" s="10" t="n"/>
      <c r="L100" s="10" t="n"/>
      <c r="M100" s="5" t="n"/>
      <c r="N100" s="18" t="n"/>
      <c r="O100" s="5" t="n"/>
      <c r="P100" s="18" t="n"/>
      <c r="Q100" s="18" t="n"/>
      <c r="R100" s="10" t="n"/>
      <c r="S100" s="18" t="n"/>
      <c r="T100" s="5" t="n"/>
    </row>
    <row r="101" ht="30" customHeight="1">
      <c r="A101" s="10" t="inlineStr">
        <is>
          <t>DEF-100</t>
        </is>
      </c>
      <c r="B101" s="10" t="n"/>
      <c r="C101" s="5">
        <f>IF(B101="","",IFERROR(INDEX('Test Cases'!$B$2:$B$546,MATCH(B101,'Test Cases'!$A$2:$A$546,0)),""))</f>
        <v/>
      </c>
      <c r="D101" s="5">
        <f>IF(B101="","",IFERROR(INDEX('Test Cases'!$C$2:$C$546,MATCH(B101,'Test Cases'!$A$2:$A$546,0)),""))</f>
        <v/>
      </c>
      <c r="E101" s="5" t="n"/>
      <c r="F101" s="5" t="n"/>
      <c r="G101" s="5" t="n"/>
      <c r="H101" s="5" t="n"/>
      <c r="I101" s="5" t="n"/>
      <c r="J101" s="10" t="n"/>
      <c r="K101" s="10" t="n"/>
      <c r="L101" s="10" t="n"/>
      <c r="M101" s="5" t="n"/>
      <c r="N101" s="18" t="n"/>
      <c r="O101" s="5" t="n"/>
      <c r="P101" s="18" t="n"/>
      <c r="Q101" s="18" t="n"/>
      <c r="R101" s="10" t="n"/>
      <c r="S101" s="18" t="n"/>
      <c r="T101" s="5" t="n"/>
    </row>
    <row r="102" ht="30" customHeight="1">
      <c r="A102" s="10" t="inlineStr">
        <is>
          <t>DEF-101</t>
        </is>
      </c>
      <c r="B102" s="10" t="n"/>
      <c r="C102" s="5">
        <f>IF(B102="","",IFERROR(INDEX('Test Cases'!$B$2:$B$546,MATCH(B102,'Test Cases'!$A$2:$A$546,0)),""))</f>
        <v/>
      </c>
      <c r="D102" s="5">
        <f>IF(B102="","",IFERROR(INDEX('Test Cases'!$C$2:$C$546,MATCH(B102,'Test Cases'!$A$2:$A$546,0)),""))</f>
        <v/>
      </c>
      <c r="E102" s="5" t="n"/>
      <c r="F102" s="5" t="n"/>
      <c r="G102" s="5" t="n"/>
      <c r="H102" s="5" t="n"/>
      <c r="I102" s="5" t="n"/>
      <c r="J102" s="10" t="n"/>
      <c r="K102" s="10" t="n"/>
      <c r="L102" s="10" t="n"/>
      <c r="M102" s="5" t="n"/>
      <c r="N102" s="18" t="n"/>
      <c r="O102" s="5" t="n"/>
      <c r="P102" s="18" t="n"/>
      <c r="Q102" s="18" t="n"/>
      <c r="R102" s="10" t="n"/>
      <c r="S102" s="18" t="n"/>
      <c r="T102" s="5" t="n"/>
    </row>
    <row r="103" ht="30" customHeight="1">
      <c r="A103" s="10" t="inlineStr">
        <is>
          <t>DEF-102</t>
        </is>
      </c>
      <c r="B103" s="10" t="n"/>
      <c r="C103" s="5">
        <f>IF(B103="","",IFERROR(INDEX('Test Cases'!$B$2:$B$546,MATCH(B103,'Test Cases'!$A$2:$A$546,0)),""))</f>
        <v/>
      </c>
      <c r="D103" s="5">
        <f>IF(B103="","",IFERROR(INDEX('Test Cases'!$C$2:$C$546,MATCH(B103,'Test Cases'!$A$2:$A$546,0)),""))</f>
        <v/>
      </c>
      <c r="E103" s="5" t="n"/>
      <c r="F103" s="5" t="n"/>
      <c r="G103" s="5" t="n"/>
      <c r="H103" s="5" t="n"/>
      <c r="I103" s="5" t="n"/>
      <c r="J103" s="10" t="n"/>
      <c r="K103" s="10" t="n"/>
      <c r="L103" s="10" t="n"/>
      <c r="M103" s="5" t="n"/>
      <c r="N103" s="18" t="n"/>
      <c r="O103" s="5" t="n"/>
      <c r="P103" s="18" t="n"/>
      <c r="Q103" s="18" t="n"/>
      <c r="R103" s="10" t="n"/>
      <c r="S103" s="18" t="n"/>
      <c r="T103" s="5" t="n"/>
    </row>
    <row r="104" ht="30" customHeight="1">
      <c r="A104" s="10" t="inlineStr">
        <is>
          <t>DEF-103</t>
        </is>
      </c>
      <c r="B104" s="10" t="n"/>
      <c r="C104" s="5">
        <f>IF(B104="","",IFERROR(INDEX('Test Cases'!$B$2:$B$546,MATCH(B104,'Test Cases'!$A$2:$A$546,0)),""))</f>
        <v/>
      </c>
      <c r="D104" s="5">
        <f>IF(B104="","",IFERROR(INDEX('Test Cases'!$C$2:$C$546,MATCH(B104,'Test Cases'!$A$2:$A$546,0)),""))</f>
        <v/>
      </c>
      <c r="E104" s="5" t="n"/>
      <c r="F104" s="5" t="n"/>
      <c r="G104" s="5" t="n"/>
      <c r="H104" s="5" t="n"/>
      <c r="I104" s="5" t="n"/>
      <c r="J104" s="10" t="n"/>
      <c r="K104" s="10" t="n"/>
      <c r="L104" s="10" t="n"/>
      <c r="M104" s="5" t="n"/>
      <c r="N104" s="18" t="n"/>
      <c r="O104" s="5" t="n"/>
      <c r="P104" s="18" t="n"/>
      <c r="Q104" s="18" t="n"/>
      <c r="R104" s="10" t="n"/>
      <c r="S104" s="18" t="n"/>
      <c r="T104" s="5" t="n"/>
    </row>
    <row r="105" ht="30" customHeight="1">
      <c r="A105" s="10" t="inlineStr">
        <is>
          <t>DEF-104</t>
        </is>
      </c>
      <c r="B105" s="10" t="n"/>
      <c r="C105" s="5">
        <f>IF(B105="","",IFERROR(INDEX('Test Cases'!$B$2:$B$546,MATCH(B105,'Test Cases'!$A$2:$A$546,0)),""))</f>
        <v/>
      </c>
      <c r="D105" s="5">
        <f>IF(B105="","",IFERROR(INDEX('Test Cases'!$C$2:$C$546,MATCH(B105,'Test Cases'!$A$2:$A$546,0)),""))</f>
        <v/>
      </c>
      <c r="E105" s="5" t="n"/>
      <c r="F105" s="5" t="n"/>
      <c r="G105" s="5" t="n"/>
      <c r="H105" s="5" t="n"/>
      <c r="I105" s="5" t="n"/>
      <c r="J105" s="10" t="n"/>
      <c r="K105" s="10" t="n"/>
      <c r="L105" s="10" t="n"/>
      <c r="M105" s="5" t="n"/>
      <c r="N105" s="18" t="n"/>
      <c r="O105" s="5" t="n"/>
      <c r="P105" s="18" t="n"/>
      <c r="Q105" s="18" t="n"/>
      <c r="R105" s="10" t="n"/>
      <c r="S105" s="18" t="n"/>
      <c r="T105" s="5" t="n"/>
    </row>
    <row r="106" ht="30" customHeight="1">
      <c r="A106" s="10" t="inlineStr">
        <is>
          <t>DEF-105</t>
        </is>
      </c>
      <c r="B106" s="10" t="n"/>
      <c r="C106" s="5">
        <f>IF(B106="","",IFERROR(INDEX('Test Cases'!$B$2:$B$546,MATCH(B106,'Test Cases'!$A$2:$A$546,0)),""))</f>
        <v/>
      </c>
      <c r="D106" s="5">
        <f>IF(B106="","",IFERROR(INDEX('Test Cases'!$C$2:$C$546,MATCH(B106,'Test Cases'!$A$2:$A$546,0)),""))</f>
        <v/>
      </c>
      <c r="E106" s="5" t="n"/>
      <c r="F106" s="5" t="n"/>
      <c r="G106" s="5" t="n"/>
      <c r="H106" s="5" t="n"/>
      <c r="I106" s="5" t="n"/>
      <c r="J106" s="10" t="n"/>
      <c r="K106" s="10" t="n"/>
      <c r="L106" s="10" t="n"/>
      <c r="M106" s="5" t="n"/>
      <c r="N106" s="18" t="n"/>
      <c r="O106" s="5" t="n"/>
      <c r="P106" s="18" t="n"/>
      <c r="Q106" s="18" t="n"/>
      <c r="R106" s="10" t="n"/>
      <c r="S106" s="18" t="n"/>
      <c r="T106" s="5" t="n"/>
    </row>
    <row r="107" ht="30" customHeight="1">
      <c r="A107" s="10" t="inlineStr">
        <is>
          <t>DEF-106</t>
        </is>
      </c>
      <c r="B107" s="10" t="n"/>
      <c r="C107" s="5">
        <f>IF(B107="","",IFERROR(INDEX('Test Cases'!$B$2:$B$546,MATCH(B107,'Test Cases'!$A$2:$A$546,0)),""))</f>
        <v/>
      </c>
      <c r="D107" s="5">
        <f>IF(B107="","",IFERROR(INDEX('Test Cases'!$C$2:$C$546,MATCH(B107,'Test Cases'!$A$2:$A$546,0)),""))</f>
        <v/>
      </c>
      <c r="E107" s="5" t="n"/>
      <c r="F107" s="5" t="n"/>
      <c r="G107" s="5" t="n"/>
      <c r="H107" s="5" t="n"/>
      <c r="I107" s="5" t="n"/>
      <c r="J107" s="10" t="n"/>
      <c r="K107" s="10" t="n"/>
      <c r="L107" s="10" t="n"/>
      <c r="M107" s="5" t="n"/>
      <c r="N107" s="18" t="n"/>
      <c r="O107" s="5" t="n"/>
      <c r="P107" s="18" t="n"/>
      <c r="Q107" s="18" t="n"/>
      <c r="R107" s="10" t="n"/>
      <c r="S107" s="18" t="n"/>
      <c r="T107" s="5" t="n"/>
    </row>
    <row r="108" ht="30" customHeight="1">
      <c r="A108" s="10" t="inlineStr">
        <is>
          <t>DEF-107</t>
        </is>
      </c>
      <c r="B108" s="10" t="n"/>
      <c r="C108" s="5">
        <f>IF(B108="","",IFERROR(INDEX('Test Cases'!$B$2:$B$546,MATCH(B108,'Test Cases'!$A$2:$A$546,0)),""))</f>
        <v/>
      </c>
      <c r="D108" s="5">
        <f>IF(B108="","",IFERROR(INDEX('Test Cases'!$C$2:$C$546,MATCH(B108,'Test Cases'!$A$2:$A$546,0)),""))</f>
        <v/>
      </c>
      <c r="E108" s="5" t="n"/>
      <c r="F108" s="5" t="n"/>
      <c r="G108" s="5" t="n"/>
      <c r="H108" s="5" t="n"/>
      <c r="I108" s="5" t="n"/>
      <c r="J108" s="10" t="n"/>
      <c r="K108" s="10" t="n"/>
      <c r="L108" s="10" t="n"/>
      <c r="M108" s="5" t="n"/>
      <c r="N108" s="18" t="n"/>
      <c r="O108" s="5" t="n"/>
      <c r="P108" s="18" t="n"/>
      <c r="Q108" s="18" t="n"/>
      <c r="R108" s="10" t="n"/>
      <c r="S108" s="18" t="n"/>
      <c r="T108" s="5" t="n"/>
    </row>
    <row r="109" ht="30" customHeight="1">
      <c r="A109" s="10" t="inlineStr">
        <is>
          <t>DEF-108</t>
        </is>
      </c>
      <c r="B109" s="10" t="n"/>
      <c r="C109" s="5">
        <f>IF(B109="","",IFERROR(INDEX('Test Cases'!$B$2:$B$546,MATCH(B109,'Test Cases'!$A$2:$A$546,0)),""))</f>
        <v/>
      </c>
      <c r="D109" s="5">
        <f>IF(B109="","",IFERROR(INDEX('Test Cases'!$C$2:$C$546,MATCH(B109,'Test Cases'!$A$2:$A$546,0)),""))</f>
        <v/>
      </c>
      <c r="E109" s="5" t="n"/>
      <c r="F109" s="5" t="n"/>
      <c r="G109" s="5" t="n"/>
      <c r="H109" s="5" t="n"/>
      <c r="I109" s="5" t="n"/>
      <c r="J109" s="10" t="n"/>
      <c r="K109" s="10" t="n"/>
      <c r="L109" s="10" t="n"/>
      <c r="M109" s="5" t="n"/>
      <c r="N109" s="18" t="n"/>
      <c r="O109" s="5" t="n"/>
      <c r="P109" s="18" t="n"/>
      <c r="Q109" s="18" t="n"/>
      <c r="R109" s="10" t="n"/>
      <c r="S109" s="18" t="n"/>
      <c r="T109" s="5" t="n"/>
    </row>
    <row r="110" ht="30" customHeight="1">
      <c r="A110" s="10" t="inlineStr">
        <is>
          <t>DEF-109</t>
        </is>
      </c>
      <c r="B110" s="10" t="n"/>
      <c r="C110" s="5">
        <f>IF(B110="","",IFERROR(INDEX('Test Cases'!$B$2:$B$546,MATCH(B110,'Test Cases'!$A$2:$A$546,0)),""))</f>
        <v/>
      </c>
      <c r="D110" s="5">
        <f>IF(B110="","",IFERROR(INDEX('Test Cases'!$C$2:$C$546,MATCH(B110,'Test Cases'!$A$2:$A$546,0)),""))</f>
        <v/>
      </c>
      <c r="E110" s="5" t="n"/>
      <c r="F110" s="5" t="n"/>
      <c r="G110" s="5" t="n"/>
      <c r="H110" s="5" t="n"/>
      <c r="I110" s="5" t="n"/>
      <c r="J110" s="10" t="n"/>
      <c r="K110" s="10" t="n"/>
      <c r="L110" s="10" t="n"/>
      <c r="M110" s="5" t="n"/>
      <c r="N110" s="18" t="n"/>
      <c r="O110" s="5" t="n"/>
      <c r="P110" s="18" t="n"/>
      <c r="Q110" s="18" t="n"/>
      <c r="R110" s="10" t="n"/>
      <c r="S110" s="18" t="n"/>
      <c r="T110" s="5" t="n"/>
    </row>
    <row r="111" ht="30" customHeight="1">
      <c r="A111" s="10" t="inlineStr">
        <is>
          <t>DEF-110</t>
        </is>
      </c>
      <c r="B111" s="10" t="n"/>
      <c r="C111" s="5">
        <f>IF(B111="","",IFERROR(INDEX('Test Cases'!$B$2:$B$546,MATCH(B111,'Test Cases'!$A$2:$A$546,0)),""))</f>
        <v/>
      </c>
      <c r="D111" s="5">
        <f>IF(B111="","",IFERROR(INDEX('Test Cases'!$C$2:$C$546,MATCH(B111,'Test Cases'!$A$2:$A$546,0)),""))</f>
        <v/>
      </c>
      <c r="E111" s="5" t="n"/>
      <c r="F111" s="5" t="n"/>
      <c r="G111" s="5" t="n"/>
      <c r="H111" s="5" t="n"/>
      <c r="I111" s="5" t="n"/>
      <c r="J111" s="10" t="n"/>
      <c r="K111" s="10" t="n"/>
      <c r="L111" s="10" t="n"/>
      <c r="M111" s="5" t="n"/>
      <c r="N111" s="18" t="n"/>
      <c r="O111" s="5" t="n"/>
      <c r="P111" s="18" t="n"/>
      <c r="Q111" s="18" t="n"/>
      <c r="R111" s="10" t="n"/>
      <c r="S111" s="18" t="n"/>
      <c r="T111" s="5" t="n"/>
    </row>
    <row r="112" ht="30" customHeight="1">
      <c r="A112" s="10" t="inlineStr">
        <is>
          <t>DEF-111</t>
        </is>
      </c>
      <c r="B112" s="10" t="n"/>
      <c r="C112" s="5">
        <f>IF(B112="","",IFERROR(INDEX('Test Cases'!$B$2:$B$546,MATCH(B112,'Test Cases'!$A$2:$A$546,0)),""))</f>
        <v/>
      </c>
      <c r="D112" s="5">
        <f>IF(B112="","",IFERROR(INDEX('Test Cases'!$C$2:$C$546,MATCH(B112,'Test Cases'!$A$2:$A$546,0)),""))</f>
        <v/>
      </c>
      <c r="E112" s="5" t="n"/>
      <c r="F112" s="5" t="n"/>
      <c r="G112" s="5" t="n"/>
      <c r="H112" s="5" t="n"/>
      <c r="I112" s="5" t="n"/>
      <c r="J112" s="10" t="n"/>
      <c r="K112" s="10" t="n"/>
      <c r="L112" s="10" t="n"/>
      <c r="M112" s="5" t="n"/>
      <c r="N112" s="18" t="n"/>
      <c r="O112" s="5" t="n"/>
      <c r="P112" s="18" t="n"/>
      <c r="Q112" s="18" t="n"/>
      <c r="R112" s="10" t="n"/>
      <c r="S112" s="18" t="n"/>
      <c r="T112" s="5" t="n"/>
    </row>
    <row r="113" ht="30" customHeight="1">
      <c r="A113" s="10" t="inlineStr">
        <is>
          <t>DEF-112</t>
        </is>
      </c>
      <c r="B113" s="10" t="n"/>
      <c r="C113" s="5">
        <f>IF(B113="","",IFERROR(INDEX('Test Cases'!$B$2:$B$546,MATCH(B113,'Test Cases'!$A$2:$A$546,0)),""))</f>
        <v/>
      </c>
      <c r="D113" s="5">
        <f>IF(B113="","",IFERROR(INDEX('Test Cases'!$C$2:$C$546,MATCH(B113,'Test Cases'!$A$2:$A$546,0)),""))</f>
        <v/>
      </c>
      <c r="E113" s="5" t="n"/>
      <c r="F113" s="5" t="n"/>
      <c r="G113" s="5" t="n"/>
      <c r="H113" s="5" t="n"/>
      <c r="I113" s="5" t="n"/>
      <c r="J113" s="10" t="n"/>
      <c r="K113" s="10" t="n"/>
      <c r="L113" s="10" t="n"/>
      <c r="M113" s="5" t="n"/>
      <c r="N113" s="18" t="n"/>
      <c r="O113" s="5" t="n"/>
      <c r="P113" s="18" t="n"/>
      <c r="Q113" s="18" t="n"/>
      <c r="R113" s="10" t="n"/>
      <c r="S113" s="18" t="n"/>
      <c r="T113" s="5" t="n"/>
    </row>
    <row r="114" ht="30" customHeight="1">
      <c r="A114" s="10" t="inlineStr">
        <is>
          <t>DEF-113</t>
        </is>
      </c>
      <c r="B114" s="10" t="n"/>
      <c r="C114" s="5">
        <f>IF(B114="","",IFERROR(INDEX('Test Cases'!$B$2:$B$546,MATCH(B114,'Test Cases'!$A$2:$A$546,0)),""))</f>
        <v/>
      </c>
      <c r="D114" s="5">
        <f>IF(B114="","",IFERROR(INDEX('Test Cases'!$C$2:$C$546,MATCH(B114,'Test Cases'!$A$2:$A$546,0)),""))</f>
        <v/>
      </c>
      <c r="E114" s="5" t="n"/>
      <c r="F114" s="5" t="n"/>
      <c r="G114" s="5" t="n"/>
      <c r="H114" s="5" t="n"/>
      <c r="I114" s="5" t="n"/>
      <c r="J114" s="10" t="n"/>
      <c r="K114" s="10" t="n"/>
      <c r="L114" s="10" t="n"/>
      <c r="M114" s="5" t="n"/>
      <c r="N114" s="18" t="n"/>
      <c r="O114" s="5" t="n"/>
      <c r="P114" s="18" t="n"/>
      <c r="Q114" s="18" t="n"/>
      <c r="R114" s="10" t="n"/>
      <c r="S114" s="18" t="n"/>
      <c r="T114" s="5" t="n"/>
    </row>
    <row r="115" ht="30" customHeight="1">
      <c r="A115" s="10" t="inlineStr">
        <is>
          <t>DEF-114</t>
        </is>
      </c>
      <c r="B115" s="10" t="n"/>
      <c r="C115" s="5">
        <f>IF(B115="","",IFERROR(INDEX('Test Cases'!$B$2:$B$546,MATCH(B115,'Test Cases'!$A$2:$A$546,0)),""))</f>
        <v/>
      </c>
      <c r="D115" s="5">
        <f>IF(B115="","",IFERROR(INDEX('Test Cases'!$C$2:$C$546,MATCH(B115,'Test Cases'!$A$2:$A$546,0)),""))</f>
        <v/>
      </c>
      <c r="E115" s="5" t="n"/>
      <c r="F115" s="5" t="n"/>
      <c r="G115" s="5" t="n"/>
      <c r="H115" s="5" t="n"/>
      <c r="I115" s="5" t="n"/>
      <c r="J115" s="10" t="n"/>
      <c r="K115" s="10" t="n"/>
      <c r="L115" s="10" t="n"/>
      <c r="M115" s="5" t="n"/>
      <c r="N115" s="18" t="n"/>
      <c r="O115" s="5" t="n"/>
      <c r="P115" s="18" t="n"/>
      <c r="Q115" s="18" t="n"/>
      <c r="R115" s="10" t="n"/>
      <c r="S115" s="18" t="n"/>
      <c r="T115" s="5" t="n"/>
    </row>
    <row r="116" ht="30" customHeight="1">
      <c r="A116" s="10" t="inlineStr">
        <is>
          <t>DEF-115</t>
        </is>
      </c>
      <c r="B116" s="10" t="n"/>
      <c r="C116" s="5">
        <f>IF(B116="","",IFERROR(INDEX('Test Cases'!$B$2:$B$546,MATCH(B116,'Test Cases'!$A$2:$A$546,0)),""))</f>
        <v/>
      </c>
      <c r="D116" s="5">
        <f>IF(B116="","",IFERROR(INDEX('Test Cases'!$C$2:$C$546,MATCH(B116,'Test Cases'!$A$2:$A$546,0)),""))</f>
        <v/>
      </c>
      <c r="E116" s="5" t="n"/>
      <c r="F116" s="5" t="n"/>
      <c r="G116" s="5" t="n"/>
      <c r="H116" s="5" t="n"/>
      <c r="I116" s="5" t="n"/>
      <c r="J116" s="10" t="n"/>
      <c r="K116" s="10" t="n"/>
      <c r="L116" s="10" t="n"/>
      <c r="M116" s="5" t="n"/>
      <c r="N116" s="18" t="n"/>
      <c r="O116" s="5" t="n"/>
      <c r="P116" s="18" t="n"/>
      <c r="Q116" s="18" t="n"/>
      <c r="R116" s="10" t="n"/>
      <c r="S116" s="18" t="n"/>
      <c r="T116" s="5" t="n"/>
    </row>
    <row r="117" ht="30" customHeight="1">
      <c r="A117" s="10" t="inlineStr">
        <is>
          <t>DEF-116</t>
        </is>
      </c>
      <c r="B117" s="10" t="n"/>
      <c r="C117" s="5">
        <f>IF(B117="","",IFERROR(INDEX('Test Cases'!$B$2:$B$546,MATCH(B117,'Test Cases'!$A$2:$A$546,0)),""))</f>
        <v/>
      </c>
      <c r="D117" s="5">
        <f>IF(B117="","",IFERROR(INDEX('Test Cases'!$C$2:$C$546,MATCH(B117,'Test Cases'!$A$2:$A$546,0)),""))</f>
        <v/>
      </c>
      <c r="E117" s="5" t="n"/>
      <c r="F117" s="5" t="n"/>
      <c r="G117" s="5" t="n"/>
      <c r="H117" s="5" t="n"/>
      <c r="I117" s="5" t="n"/>
      <c r="J117" s="10" t="n"/>
      <c r="K117" s="10" t="n"/>
      <c r="L117" s="10" t="n"/>
      <c r="M117" s="5" t="n"/>
      <c r="N117" s="18" t="n"/>
      <c r="O117" s="5" t="n"/>
      <c r="P117" s="18" t="n"/>
      <c r="Q117" s="18" t="n"/>
      <c r="R117" s="10" t="n"/>
      <c r="S117" s="18" t="n"/>
      <c r="T117" s="5" t="n"/>
    </row>
    <row r="118" ht="30" customHeight="1">
      <c r="A118" s="10" t="inlineStr">
        <is>
          <t>DEF-117</t>
        </is>
      </c>
      <c r="B118" s="10" t="n"/>
      <c r="C118" s="5">
        <f>IF(B118="","",IFERROR(INDEX('Test Cases'!$B$2:$B$546,MATCH(B118,'Test Cases'!$A$2:$A$546,0)),""))</f>
        <v/>
      </c>
      <c r="D118" s="5">
        <f>IF(B118="","",IFERROR(INDEX('Test Cases'!$C$2:$C$546,MATCH(B118,'Test Cases'!$A$2:$A$546,0)),""))</f>
        <v/>
      </c>
      <c r="E118" s="5" t="n"/>
      <c r="F118" s="5" t="n"/>
      <c r="G118" s="5" t="n"/>
      <c r="H118" s="5" t="n"/>
      <c r="I118" s="5" t="n"/>
      <c r="J118" s="10" t="n"/>
      <c r="K118" s="10" t="n"/>
      <c r="L118" s="10" t="n"/>
      <c r="M118" s="5" t="n"/>
      <c r="N118" s="18" t="n"/>
      <c r="O118" s="5" t="n"/>
      <c r="P118" s="18" t="n"/>
      <c r="Q118" s="18" t="n"/>
      <c r="R118" s="10" t="n"/>
      <c r="S118" s="18" t="n"/>
      <c r="T118" s="5" t="n"/>
    </row>
    <row r="119" ht="30" customHeight="1">
      <c r="A119" s="10" t="inlineStr">
        <is>
          <t>DEF-118</t>
        </is>
      </c>
      <c r="B119" s="10" t="n"/>
      <c r="C119" s="5">
        <f>IF(B119="","",IFERROR(INDEX('Test Cases'!$B$2:$B$546,MATCH(B119,'Test Cases'!$A$2:$A$546,0)),""))</f>
        <v/>
      </c>
      <c r="D119" s="5">
        <f>IF(B119="","",IFERROR(INDEX('Test Cases'!$C$2:$C$546,MATCH(B119,'Test Cases'!$A$2:$A$546,0)),""))</f>
        <v/>
      </c>
      <c r="E119" s="5" t="n"/>
      <c r="F119" s="5" t="n"/>
      <c r="G119" s="5" t="n"/>
      <c r="H119" s="5" t="n"/>
      <c r="I119" s="5" t="n"/>
      <c r="J119" s="10" t="n"/>
      <c r="K119" s="10" t="n"/>
      <c r="L119" s="10" t="n"/>
      <c r="M119" s="5" t="n"/>
      <c r="N119" s="18" t="n"/>
      <c r="O119" s="5" t="n"/>
      <c r="P119" s="18" t="n"/>
      <c r="Q119" s="18" t="n"/>
      <c r="R119" s="10" t="n"/>
      <c r="S119" s="18" t="n"/>
      <c r="T119" s="5" t="n"/>
    </row>
    <row r="120" ht="30" customHeight="1">
      <c r="A120" s="10" t="inlineStr">
        <is>
          <t>DEF-119</t>
        </is>
      </c>
      <c r="B120" s="10" t="n"/>
      <c r="C120" s="5">
        <f>IF(B120="","",IFERROR(INDEX('Test Cases'!$B$2:$B$546,MATCH(B120,'Test Cases'!$A$2:$A$546,0)),""))</f>
        <v/>
      </c>
      <c r="D120" s="5">
        <f>IF(B120="","",IFERROR(INDEX('Test Cases'!$C$2:$C$546,MATCH(B120,'Test Cases'!$A$2:$A$546,0)),""))</f>
        <v/>
      </c>
      <c r="E120" s="5" t="n"/>
      <c r="F120" s="5" t="n"/>
      <c r="G120" s="5" t="n"/>
      <c r="H120" s="5" t="n"/>
      <c r="I120" s="5" t="n"/>
      <c r="J120" s="10" t="n"/>
      <c r="K120" s="10" t="n"/>
      <c r="L120" s="10" t="n"/>
      <c r="M120" s="5" t="n"/>
      <c r="N120" s="18" t="n"/>
      <c r="O120" s="5" t="n"/>
      <c r="P120" s="18" t="n"/>
      <c r="Q120" s="18" t="n"/>
      <c r="R120" s="10" t="n"/>
      <c r="S120" s="18" t="n"/>
      <c r="T120" s="5" t="n"/>
    </row>
    <row r="121" ht="30" customHeight="1">
      <c r="A121" s="10" t="inlineStr">
        <is>
          <t>DEF-120</t>
        </is>
      </c>
      <c r="B121" s="10" t="n"/>
      <c r="C121" s="5">
        <f>IF(B121="","",IFERROR(INDEX('Test Cases'!$B$2:$B$546,MATCH(B121,'Test Cases'!$A$2:$A$546,0)),""))</f>
        <v/>
      </c>
      <c r="D121" s="5">
        <f>IF(B121="","",IFERROR(INDEX('Test Cases'!$C$2:$C$546,MATCH(B121,'Test Cases'!$A$2:$A$546,0)),""))</f>
        <v/>
      </c>
      <c r="E121" s="5" t="n"/>
      <c r="F121" s="5" t="n"/>
      <c r="G121" s="5" t="n"/>
      <c r="H121" s="5" t="n"/>
      <c r="I121" s="5" t="n"/>
      <c r="J121" s="10" t="n"/>
      <c r="K121" s="10" t="n"/>
      <c r="L121" s="10" t="n"/>
      <c r="M121" s="5" t="n"/>
      <c r="N121" s="18" t="n"/>
      <c r="O121" s="5" t="n"/>
      <c r="P121" s="18" t="n"/>
      <c r="Q121" s="18" t="n"/>
      <c r="R121" s="10" t="n"/>
      <c r="S121" s="18" t="n"/>
      <c r="T121" s="5" t="n"/>
    </row>
    <row r="122" ht="30" customHeight="1">
      <c r="A122" s="10" t="inlineStr">
        <is>
          <t>DEF-121</t>
        </is>
      </c>
      <c r="B122" s="10" t="n"/>
      <c r="C122" s="5">
        <f>IF(B122="","",IFERROR(INDEX('Test Cases'!$B$2:$B$546,MATCH(B122,'Test Cases'!$A$2:$A$546,0)),""))</f>
        <v/>
      </c>
      <c r="D122" s="5">
        <f>IF(B122="","",IFERROR(INDEX('Test Cases'!$C$2:$C$546,MATCH(B122,'Test Cases'!$A$2:$A$546,0)),""))</f>
        <v/>
      </c>
      <c r="E122" s="5" t="n"/>
      <c r="F122" s="5" t="n"/>
      <c r="G122" s="5" t="n"/>
      <c r="H122" s="5" t="n"/>
      <c r="I122" s="5" t="n"/>
      <c r="J122" s="10" t="n"/>
      <c r="K122" s="10" t="n"/>
      <c r="L122" s="10" t="n"/>
      <c r="M122" s="5" t="n"/>
      <c r="N122" s="18" t="n"/>
      <c r="O122" s="5" t="n"/>
      <c r="P122" s="18" t="n"/>
      <c r="Q122" s="18" t="n"/>
      <c r="R122" s="10" t="n"/>
      <c r="S122" s="18" t="n"/>
      <c r="T122" s="5" t="n"/>
    </row>
    <row r="123" ht="30" customHeight="1">
      <c r="A123" s="10" t="inlineStr">
        <is>
          <t>DEF-122</t>
        </is>
      </c>
      <c r="B123" s="10" t="n"/>
      <c r="C123" s="5">
        <f>IF(B123="","",IFERROR(INDEX('Test Cases'!$B$2:$B$546,MATCH(B123,'Test Cases'!$A$2:$A$546,0)),""))</f>
        <v/>
      </c>
      <c r="D123" s="5">
        <f>IF(B123="","",IFERROR(INDEX('Test Cases'!$C$2:$C$546,MATCH(B123,'Test Cases'!$A$2:$A$546,0)),""))</f>
        <v/>
      </c>
      <c r="E123" s="5" t="n"/>
      <c r="F123" s="5" t="n"/>
      <c r="G123" s="5" t="n"/>
      <c r="H123" s="5" t="n"/>
      <c r="I123" s="5" t="n"/>
      <c r="J123" s="10" t="n"/>
      <c r="K123" s="10" t="n"/>
      <c r="L123" s="10" t="n"/>
      <c r="M123" s="5" t="n"/>
      <c r="N123" s="18" t="n"/>
      <c r="O123" s="5" t="n"/>
      <c r="P123" s="18" t="n"/>
      <c r="Q123" s="18" t="n"/>
      <c r="R123" s="10" t="n"/>
      <c r="S123" s="18" t="n"/>
      <c r="T123" s="5" t="n"/>
    </row>
    <row r="124" ht="30" customHeight="1">
      <c r="A124" s="10" t="inlineStr">
        <is>
          <t>DEF-123</t>
        </is>
      </c>
      <c r="B124" s="10" t="n"/>
      <c r="C124" s="5">
        <f>IF(B124="","",IFERROR(INDEX('Test Cases'!$B$2:$B$546,MATCH(B124,'Test Cases'!$A$2:$A$546,0)),""))</f>
        <v/>
      </c>
      <c r="D124" s="5">
        <f>IF(B124="","",IFERROR(INDEX('Test Cases'!$C$2:$C$546,MATCH(B124,'Test Cases'!$A$2:$A$546,0)),""))</f>
        <v/>
      </c>
      <c r="E124" s="5" t="n"/>
      <c r="F124" s="5" t="n"/>
      <c r="G124" s="5" t="n"/>
      <c r="H124" s="5" t="n"/>
      <c r="I124" s="5" t="n"/>
      <c r="J124" s="10" t="n"/>
      <c r="K124" s="10" t="n"/>
      <c r="L124" s="10" t="n"/>
      <c r="M124" s="5" t="n"/>
      <c r="N124" s="18" t="n"/>
      <c r="O124" s="5" t="n"/>
      <c r="P124" s="18" t="n"/>
      <c r="Q124" s="18" t="n"/>
      <c r="R124" s="10" t="n"/>
      <c r="S124" s="18" t="n"/>
      <c r="T124" s="5" t="n"/>
    </row>
    <row r="125" ht="30" customHeight="1">
      <c r="A125" s="10" t="inlineStr">
        <is>
          <t>DEF-124</t>
        </is>
      </c>
      <c r="B125" s="10" t="n"/>
      <c r="C125" s="5">
        <f>IF(B125="","",IFERROR(INDEX('Test Cases'!$B$2:$B$546,MATCH(B125,'Test Cases'!$A$2:$A$546,0)),""))</f>
        <v/>
      </c>
      <c r="D125" s="5">
        <f>IF(B125="","",IFERROR(INDEX('Test Cases'!$C$2:$C$546,MATCH(B125,'Test Cases'!$A$2:$A$546,0)),""))</f>
        <v/>
      </c>
      <c r="E125" s="5" t="n"/>
      <c r="F125" s="5" t="n"/>
      <c r="G125" s="5" t="n"/>
      <c r="H125" s="5" t="n"/>
      <c r="I125" s="5" t="n"/>
      <c r="J125" s="10" t="n"/>
      <c r="K125" s="10" t="n"/>
      <c r="L125" s="10" t="n"/>
      <c r="M125" s="5" t="n"/>
      <c r="N125" s="18" t="n"/>
      <c r="O125" s="5" t="n"/>
      <c r="P125" s="18" t="n"/>
      <c r="Q125" s="18" t="n"/>
      <c r="R125" s="10" t="n"/>
      <c r="S125" s="18" t="n"/>
      <c r="T125" s="5" t="n"/>
    </row>
    <row r="126" ht="30" customHeight="1">
      <c r="A126" s="10" t="inlineStr">
        <is>
          <t>DEF-125</t>
        </is>
      </c>
      <c r="B126" s="10" t="n"/>
      <c r="C126" s="5">
        <f>IF(B126="","",IFERROR(INDEX('Test Cases'!$B$2:$B$546,MATCH(B126,'Test Cases'!$A$2:$A$546,0)),""))</f>
        <v/>
      </c>
      <c r="D126" s="5">
        <f>IF(B126="","",IFERROR(INDEX('Test Cases'!$C$2:$C$546,MATCH(B126,'Test Cases'!$A$2:$A$546,0)),""))</f>
        <v/>
      </c>
      <c r="E126" s="5" t="n"/>
      <c r="F126" s="5" t="n"/>
      <c r="G126" s="5" t="n"/>
      <c r="H126" s="5" t="n"/>
      <c r="I126" s="5" t="n"/>
      <c r="J126" s="10" t="n"/>
      <c r="K126" s="10" t="n"/>
      <c r="L126" s="10" t="n"/>
      <c r="M126" s="5" t="n"/>
      <c r="N126" s="18" t="n"/>
      <c r="O126" s="5" t="n"/>
      <c r="P126" s="18" t="n"/>
      <c r="Q126" s="18" t="n"/>
      <c r="R126" s="10" t="n"/>
      <c r="S126" s="18" t="n"/>
      <c r="T126" s="5" t="n"/>
    </row>
    <row r="127" ht="30" customHeight="1">
      <c r="A127" s="10" t="inlineStr">
        <is>
          <t>DEF-126</t>
        </is>
      </c>
      <c r="B127" s="10" t="n"/>
      <c r="C127" s="5">
        <f>IF(B127="","",IFERROR(INDEX('Test Cases'!$B$2:$B$546,MATCH(B127,'Test Cases'!$A$2:$A$546,0)),""))</f>
        <v/>
      </c>
      <c r="D127" s="5">
        <f>IF(B127="","",IFERROR(INDEX('Test Cases'!$C$2:$C$546,MATCH(B127,'Test Cases'!$A$2:$A$546,0)),""))</f>
        <v/>
      </c>
      <c r="E127" s="5" t="n"/>
      <c r="F127" s="5" t="n"/>
      <c r="G127" s="5" t="n"/>
      <c r="H127" s="5" t="n"/>
      <c r="I127" s="5" t="n"/>
      <c r="J127" s="10" t="n"/>
      <c r="K127" s="10" t="n"/>
      <c r="L127" s="10" t="n"/>
      <c r="M127" s="5" t="n"/>
      <c r="N127" s="18" t="n"/>
      <c r="O127" s="5" t="n"/>
      <c r="P127" s="18" t="n"/>
      <c r="Q127" s="18" t="n"/>
      <c r="R127" s="10" t="n"/>
      <c r="S127" s="18" t="n"/>
      <c r="T127" s="5" t="n"/>
    </row>
    <row r="128" ht="30" customHeight="1">
      <c r="A128" s="10" t="inlineStr">
        <is>
          <t>DEF-127</t>
        </is>
      </c>
      <c r="B128" s="10" t="n"/>
      <c r="C128" s="5">
        <f>IF(B128="","",IFERROR(INDEX('Test Cases'!$B$2:$B$546,MATCH(B128,'Test Cases'!$A$2:$A$546,0)),""))</f>
        <v/>
      </c>
      <c r="D128" s="5">
        <f>IF(B128="","",IFERROR(INDEX('Test Cases'!$C$2:$C$546,MATCH(B128,'Test Cases'!$A$2:$A$546,0)),""))</f>
        <v/>
      </c>
      <c r="E128" s="5" t="n"/>
      <c r="F128" s="5" t="n"/>
      <c r="G128" s="5" t="n"/>
      <c r="H128" s="5" t="n"/>
      <c r="I128" s="5" t="n"/>
      <c r="J128" s="10" t="n"/>
      <c r="K128" s="10" t="n"/>
      <c r="L128" s="10" t="n"/>
      <c r="M128" s="5" t="n"/>
      <c r="N128" s="18" t="n"/>
      <c r="O128" s="5" t="n"/>
      <c r="P128" s="18" t="n"/>
      <c r="Q128" s="18" t="n"/>
      <c r="R128" s="10" t="n"/>
      <c r="S128" s="18" t="n"/>
      <c r="T128" s="5" t="n"/>
    </row>
    <row r="129" ht="30" customHeight="1">
      <c r="A129" s="10" t="inlineStr">
        <is>
          <t>DEF-128</t>
        </is>
      </c>
      <c r="B129" s="10" t="n"/>
      <c r="C129" s="5">
        <f>IF(B129="","",IFERROR(INDEX('Test Cases'!$B$2:$B$546,MATCH(B129,'Test Cases'!$A$2:$A$546,0)),""))</f>
        <v/>
      </c>
      <c r="D129" s="5">
        <f>IF(B129="","",IFERROR(INDEX('Test Cases'!$C$2:$C$546,MATCH(B129,'Test Cases'!$A$2:$A$546,0)),""))</f>
        <v/>
      </c>
      <c r="E129" s="5" t="n"/>
      <c r="F129" s="5" t="n"/>
      <c r="G129" s="5" t="n"/>
      <c r="H129" s="5" t="n"/>
      <c r="I129" s="5" t="n"/>
      <c r="J129" s="10" t="n"/>
      <c r="K129" s="10" t="n"/>
      <c r="L129" s="10" t="n"/>
      <c r="M129" s="5" t="n"/>
      <c r="N129" s="18" t="n"/>
      <c r="O129" s="5" t="n"/>
      <c r="P129" s="18" t="n"/>
      <c r="Q129" s="18" t="n"/>
      <c r="R129" s="10" t="n"/>
      <c r="S129" s="18" t="n"/>
      <c r="T129" s="5" t="n"/>
    </row>
    <row r="130" ht="30" customHeight="1">
      <c r="A130" s="10" t="inlineStr">
        <is>
          <t>DEF-129</t>
        </is>
      </c>
      <c r="B130" s="10" t="n"/>
      <c r="C130" s="5">
        <f>IF(B130="","",IFERROR(INDEX('Test Cases'!$B$2:$B$546,MATCH(B130,'Test Cases'!$A$2:$A$546,0)),""))</f>
        <v/>
      </c>
      <c r="D130" s="5">
        <f>IF(B130="","",IFERROR(INDEX('Test Cases'!$C$2:$C$546,MATCH(B130,'Test Cases'!$A$2:$A$546,0)),""))</f>
        <v/>
      </c>
      <c r="E130" s="5" t="n"/>
      <c r="F130" s="5" t="n"/>
      <c r="G130" s="5" t="n"/>
      <c r="H130" s="5" t="n"/>
      <c r="I130" s="5" t="n"/>
      <c r="J130" s="10" t="n"/>
      <c r="K130" s="10" t="n"/>
      <c r="L130" s="10" t="n"/>
      <c r="M130" s="5" t="n"/>
      <c r="N130" s="18" t="n"/>
      <c r="O130" s="5" t="n"/>
      <c r="P130" s="18" t="n"/>
      <c r="Q130" s="18" t="n"/>
      <c r="R130" s="10" t="n"/>
      <c r="S130" s="18" t="n"/>
      <c r="T130" s="5" t="n"/>
    </row>
    <row r="131" ht="30" customHeight="1">
      <c r="A131" s="10" t="inlineStr">
        <is>
          <t>DEF-130</t>
        </is>
      </c>
      <c r="B131" s="10" t="n"/>
      <c r="C131" s="5">
        <f>IF(B131="","",IFERROR(INDEX('Test Cases'!$B$2:$B$546,MATCH(B131,'Test Cases'!$A$2:$A$546,0)),""))</f>
        <v/>
      </c>
      <c r="D131" s="5">
        <f>IF(B131="","",IFERROR(INDEX('Test Cases'!$C$2:$C$546,MATCH(B131,'Test Cases'!$A$2:$A$546,0)),""))</f>
        <v/>
      </c>
      <c r="E131" s="5" t="n"/>
      <c r="F131" s="5" t="n"/>
      <c r="G131" s="5" t="n"/>
      <c r="H131" s="5" t="n"/>
      <c r="I131" s="5" t="n"/>
      <c r="J131" s="10" t="n"/>
      <c r="K131" s="10" t="n"/>
      <c r="L131" s="10" t="n"/>
      <c r="M131" s="5" t="n"/>
      <c r="N131" s="18" t="n"/>
      <c r="O131" s="5" t="n"/>
      <c r="P131" s="18" t="n"/>
      <c r="Q131" s="18" t="n"/>
      <c r="R131" s="10" t="n"/>
      <c r="S131" s="18" t="n"/>
      <c r="T131" s="5" t="n"/>
    </row>
    <row r="132" ht="30" customHeight="1">
      <c r="A132" s="10" t="inlineStr">
        <is>
          <t>DEF-131</t>
        </is>
      </c>
      <c r="B132" s="10" t="n"/>
      <c r="C132" s="5">
        <f>IF(B132="","",IFERROR(INDEX('Test Cases'!$B$2:$B$546,MATCH(B132,'Test Cases'!$A$2:$A$546,0)),""))</f>
        <v/>
      </c>
      <c r="D132" s="5">
        <f>IF(B132="","",IFERROR(INDEX('Test Cases'!$C$2:$C$546,MATCH(B132,'Test Cases'!$A$2:$A$546,0)),""))</f>
        <v/>
      </c>
      <c r="E132" s="5" t="n"/>
      <c r="F132" s="5" t="n"/>
      <c r="G132" s="5" t="n"/>
      <c r="H132" s="5" t="n"/>
      <c r="I132" s="5" t="n"/>
      <c r="J132" s="10" t="n"/>
      <c r="K132" s="10" t="n"/>
      <c r="L132" s="10" t="n"/>
      <c r="M132" s="5" t="n"/>
      <c r="N132" s="18" t="n"/>
      <c r="O132" s="5" t="n"/>
      <c r="P132" s="18" t="n"/>
      <c r="Q132" s="18" t="n"/>
      <c r="R132" s="10" t="n"/>
      <c r="S132" s="18" t="n"/>
      <c r="T132" s="5" t="n"/>
    </row>
    <row r="133" ht="30" customHeight="1">
      <c r="A133" s="10" t="inlineStr">
        <is>
          <t>DEF-132</t>
        </is>
      </c>
      <c r="B133" s="10" t="n"/>
      <c r="C133" s="5">
        <f>IF(B133="","",IFERROR(INDEX('Test Cases'!$B$2:$B$546,MATCH(B133,'Test Cases'!$A$2:$A$546,0)),""))</f>
        <v/>
      </c>
      <c r="D133" s="5">
        <f>IF(B133="","",IFERROR(INDEX('Test Cases'!$C$2:$C$546,MATCH(B133,'Test Cases'!$A$2:$A$546,0)),""))</f>
        <v/>
      </c>
      <c r="E133" s="5" t="n"/>
      <c r="F133" s="5" t="n"/>
      <c r="G133" s="5" t="n"/>
      <c r="H133" s="5" t="n"/>
      <c r="I133" s="5" t="n"/>
      <c r="J133" s="10" t="n"/>
      <c r="K133" s="10" t="n"/>
      <c r="L133" s="10" t="n"/>
      <c r="M133" s="5" t="n"/>
      <c r="N133" s="18" t="n"/>
      <c r="O133" s="5" t="n"/>
      <c r="P133" s="18" t="n"/>
      <c r="Q133" s="18" t="n"/>
      <c r="R133" s="10" t="n"/>
      <c r="S133" s="18" t="n"/>
      <c r="T133" s="5" t="n"/>
    </row>
    <row r="134" ht="30" customHeight="1">
      <c r="A134" s="10" t="inlineStr">
        <is>
          <t>DEF-133</t>
        </is>
      </c>
      <c r="B134" s="10" t="n"/>
      <c r="C134" s="5">
        <f>IF(B134="","",IFERROR(INDEX('Test Cases'!$B$2:$B$546,MATCH(B134,'Test Cases'!$A$2:$A$546,0)),""))</f>
        <v/>
      </c>
      <c r="D134" s="5">
        <f>IF(B134="","",IFERROR(INDEX('Test Cases'!$C$2:$C$546,MATCH(B134,'Test Cases'!$A$2:$A$546,0)),""))</f>
        <v/>
      </c>
      <c r="E134" s="5" t="n"/>
      <c r="F134" s="5" t="n"/>
      <c r="G134" s="5" t="n"/>
      <c r="H134" s="5" t="n"/>
      <c r="I134" s="5" t="n"/>
      <c r="J134" s="10" t="n"/>
      <c r="K134" s="10" t="n"/>
      <c r="L134" s="10" t="n"/>
      <c r="M134" s="5" t="n"/>
      <c r="N134" s="18" t="n"/>
      <c r="O134" s="5" t="n"/>
      <c r="P134" s="18" t="n"/>
      <c r="Q134" s="18" t="n"/>
      <c r="R134" s="10" t="n"/>
      <c r="S134" s="18" t="n"/>
      <c r="T134" s="5" t="n"/>
    </row>
    <row r="135" ht="30" customHeight="1">
      <c r="A135" s="10" t="inlineStr">
        <is>
          <t>DEF-134</t>
        </is>
      </c>
      <c r="B135" s="10" t="n"/>
      <c r="C135" s="5">
        <f>IF(B135="","",IFERROR(INDEX('Test Cases'!$B$2:$B$546,MATCH(B135,'Test Cases'!$A$2:$A$546,0)),""))</f>
        <v/>
      </c>
      <c r="D135" s="5">
        <f>IF(B135="","",IFERROR(INDEX('Test Cases'!$C$2:$C$546,MATCH(B135,'Test Cases'!$A$2:$A$546,0)),""))</f>
        <v/>
      </c>
      <c r="E135" s="5" t="n"/>
      <c r="F135" s="5" t="n"/>
      <c r="G135" s="5" t="n"/>
      <c r="H135" s="5" t="n"/>
      <c r="I135" s="5" t="n"/>
      <c r="J135" s="10" t="n"/>
      <c r="K135" s="10" t="n"/>
      <c r="L135" s="10" t="n"/>
      <c r="M135" s="5" t="n"/>
      <c r="N135" s="18" t="n"/>
      <c r="O135" s="5" t="n"/>
      <c r="P135" s="18" t="n"/>
      <c r="Q135" s="18" t="n"/>
      <c r="R135" s="10" t="n"/>
      <c r="S135" s="18" t="n"/>
      <c r="T135" s="5" t="n"/>
    </row>
    <row r="136" ht="30" customHeight="1">
      <c r="A136" s="10" t="inlineStr">
        <is>
          <t>DEF-135</t>
        </is>
      </c>
      <c r="B136" s="10" t="n"/>
      <c r="C136" s="5">
        <f>IF(B136="","",IFERROR(INDEX('Test Cases'!$B$2:$B$546,MATCH(B136,'Test Cases'!$A$2:$A$546,0)),""))</f>
        <v/>
      </c>
      <c r="D136" s="5">
        <f>IF(B136="","",IFERROR(INDEX('Test Cases'!$C$2:$C$546,MATCH(B136,'Test Cases'!$A$2:$A$546,0)),""))</f>
        <v/>
      </c>
      <c r="E136" s="5" t="n"/>
      <c r="F136" s="5" t="n"/>
      <c r="G136" s="5" t="n"/>
      <c r="H136" s="5" t="n"/>
      <c r="I136" s="5" t="n"/>
      <c r="J136" s="10" t="n"/>
      <c r="K136" s="10" t="n"/>
      <c r="L136" s="10" t="n"/>
      <c r="M136" s="5" t="n"/>
      <c r="N136" s="18" t="n"/>
      <c r="O136" s="5" t="n"/>
      <c r="P136" s="18" t="n"/>
      <c r="Q136" s="18" t="n"/>
      <c r="R136" s="10" t="n"/>
      <c r="S136" s="18" t="n"/>
      <c r="T136" s="5" t="n"/>
    </row>
    <row r="137" ht="30" customHeight="1">
      <c r="A137" s="10" t="inlineStr">
        <is>
          <t>DEF-136</t>
        </is>
      </c>
      <c r="B137" s="10" t="n"/>
      <c r="C137" s="5">
        <f>IF(B137="","",IFERROR(INDEX('Test Cases'!$B$2:$B$546,MATCH(B137,'Test Cases'!$A$2:$A$546,0)),""))</f>
        <v/>
      </c>
      <c r="D137" s="5">
        <f>IF(B137="","",IFERROR(INDEX('Test Cases'!$C$2:$C$546,MATCH(B137,'Test Cases'!$A$2:$A$546,0)),""))</f>
        <v/>
      </c>
      <c r="E137" s="5" t="n"/>
      <c r="F137" s="5" t="n"/>
      <c r="G137" s="5" t="n"/>
      <c r="H137" s="5" t="n"/>
      <c r="I137" s="5" t="n"/>
      <c r="J137" s="10" t="n"/>
      <c r="K137" s="10" t="n"/>
      <c r="L137" s="10" t="n"/>
      <c r="M137" s="5" t="n"/>
      <c r="N137" s="18" t="n"/>
      <c r="O137" s="5" t="n"/>
      <c r="P137" s="18" t="n"/>
      <c r="Q137" s="18" t="n"/>
      <c r="R137" s="10" t="n"/>
      <c r="S137" s="18" t="n"/>
      <c r="T137" s="5" t="n"/>
    </row>
    <row r="138" ht="30" customHeight="1">
      <c r="A138" s="10" t="inlineStr">
        <is>
          <t>DEF-137</t>
        </is>
      </c>
      <c r="B138" s="10" t="n"/>
      <c r="C138" s="5">
        <f>IF(B138="","",IFERROR(INDEX('Test Cases'!$B$2:$B$546,MATCH(B138,'Test Cases'!$A$2:$A$546,0)),""))</f>
        <v/>
      </c>
      <c r="D138" s="5">
        <f>IF(B138="","",IFERROR(INDEX('Test Cases'!$C$2:$C$546,MATCH(B138,'Test Cases'!$A$2:$A$546,0)),""))</f>
        <v/>
      </c>
      <c r="E138" s="5" t="n"/>
      <c r="F138" s="5" t="n"/>
      <c r="G138" s="5" t="n"/>
      <c r="H138" s="5" t="n"/>
      <c r="I138" s="5" t="n"/>
      <c r="J138" s="10" t="n"/>
      <c r="K138" s="10" t="n"/>
      <c r="L138" s="10" t="n"/>
      <c r="M138" s="5" t="n"/>
      <c r="N138" s="18" t="n"/>
      <c r="O138" s="5" t="n"/>
      <c r="P138" s="18" t="n"/>
      <c r="Q138" s="18" t="n"/>
      <c r="R138" s="10" t="n"/>
      <c r="S138" s="18" t="n"/>
      <c r="T138" s="5" t="n"/>
    </row>
    <row r="139" ht="30" customHeight="1">
      <c r="A139" s="10" t="inlineStr">
        <is>
          <t>DEF-138</t>
        </is>
      </c>
      <c r="B139" s="10" t="n"/>
      <c r="C139" s="5">
        <f>IF(B139="","",IFERROR(INDEX('Test Cases'!$B$2:$B$546,MATCH(B139,'Test Cases'!$A$2:$A$546,0)),""))</f>
        <v/>
      </c>
      <c r="D139" s="5">
        <f>IF(B139="","",IFERROR(INDEX('Test Cases'!$C$2:$C$546,MATCH(B139,'Test Cases'!$A$2:$A$546,0)),""))</f>
        <v/>
      </c>
      <c r="E139" s="5" t="n"/>
      <c r="F139" s="5" t="n"/>
      <c r="G139" s="5" t="n"/>
      <c r="H139" s="5" t="n"/>
      <c r="I139" s="5" t="n"/>
      <c r="J139" s="10" t="n"/>
      <c r="K139" s="10" t="n"/>
      <c r="L139" s="10" t="n"/>
      <c r="M139" s="5" t="n"/>
      <c r="N139" s="18" t="n"/>
      <c r="O139" s="5" t="n"/>
      <c r="P139" s="18" t="n"/>
      <c r="Q139" s="18" t="n"/>
      <c r="R139" s="10" t="n"/>
      <c r="S139" s="18" t="n"/>
      <c r="T139" s="5" t="n"/>
    </row>
    <row r="140" ht="30" customHeight="1">
      <c r="A140" s="10" t="inlineStr">
        <is>
          <t>DEF-139</t>
        </is>
      </c>
      <c r="B140" s="10" t="n"/>
      <c r="C140" s="5">
        <f>IF(B140="","",IFERROR(INDEX('Test Cases'!$B$2:$B$546,MATCH(B140,'Test Cases'!$A$2:$A$546,0)),""))</f>
        <v/>
      </c>
      <c r="D140" s="5">
        <f>IF(B140="","",IFERROR(INDEX('Test Cases'!$C$2:$C$546,MATCH(B140,'Test Cases'!$A$2:$A$546,0)),""))</f>
        <v/>
      </c>
      <c r="E140" s="5" t="n"/>
      <c r="F140" s="5" t="n"/>
      <c r="G140" s="5" t="n"/>
      <c r="H140" s="5" t="n"/>
      <c r="I140" s="5" t="n"/>
      <c r="J140" s="10" t="n"/>
      <c r="K140" s="10" t="n"/>
      <c r="L140" s="10" t="n"/>
      <c r="M140" s="5" t="n"/>
      <c r="N140" s="18" t="n"/>
      <c r="O140" s="5" t="n"/>
      <c r="P140" s="18" t="n"/>
      <c r="Q140" s="18" t="n"/>
      <c r="R140" s="10" t="n"/>
      <c r="S140" s="18" t="n"/>
      <c r="T140" s="5" t="n"/>
    </row>
    <row r="141" ht="30" customHeight="1">
      <c r="A141" s="10" t="inlineStr">
        <is>
          <t>DEF-140</t>
        </is>
      </c>
      <c r="B141" s="10" t="n"/>
      <c r="C141" s="5">
        <f>IF(B141="","",IFERROR(INDEX('Test Cases'!$B$2:$B$546,MATCH(B141,'Test Cases'!$A$2:$A$546,0)),""))</f>
        <v/>
      </c>
      <c r="D141" s="5">
        <f>IF(B141="","",IFERROR(INDEX('Test Cases'!$C$2:$C$546,MATCH(B141,'Test Cases'!$A$2:$A$546,0)),""))</f>
        <v/>
      </c>
      <c r="E141" s="5" t="n"/>
      <c r="F141" s="5" t="n"/>
      <c r="G141" s="5" t="n"/>
      <c r="H141" s="5" t="n"/>
      <c r="I141" s="5" t="n"/>
      <c r="J141" s="10" t="n"/>
      <c r="K141" s="10" t="n"/>
      <c r="L141" s="10" t="n"/>
      <c r="M141" s="5" t="n"/>
      <c r="N141" s="18" t="n"/>
      <c r="O141" s="5" t="n"/>
      <c r="P141" s="18" t="n"/>
      <c r="Q141" s="18" t="n"/>
      <c r="R141" s="10" t="n"/>
      <c r="S141" s="18" t="n"/>
      <c r="T141" s="5" t="n"/>
    </row>
    <row r="142" ht="30" customHeight="1">
      <c r="A142" s="10" t="inlineStr">
        <is>
          <t>DEF-141</t>
        </is>
      </c>
      <c r="B142" s="10" t="n"/>
      <c r="C142" s="5">
        <f>IF(B142="","",IFERROR(INDEX('Test Cases'!$B$2:$B$546,MATCH(B142,'Test Cases'!$A$2:$A$546,0)),""))</f>
        <v/>
      </c>
      <c r="D142" s="5">
        <f>IF(B142="","",IFERROR(INDEX('Test Cases'!$C$2:$C$546,MATCH(B142,'Test Cases'!$A$2:$A$546,0)),""))</f>
        <v/>
      </c>
      <c r="E142" s="5" t="n"/>
      <c r="F142" s="5" t="n"/>
      <c r="G142" s="5" t="n"/>
      <c r="H142" s="5" t="n"/>
      <c r="I142" s="5" t="n"/>
      <c r="J142" s="10" t="n"/>
      <c r="K142" s="10" t="n"/>
      <c r="L142" s="10" t="n"/>
      <c r="M142" s="5" t="n"/>
      <c r="N142" s="18" t="n"/>
      <c r="O142" s="5" t="n"/>
      <c r="P142" s="18" t="n"/>
      <c r="Q142" s="18" t="n"/>
      <c r="R142" s="10" t="n"/>
      <c r="S142" s="18" t="n"/>
      <c r="T142" s="5" t="n"/>
    </row>
    <row r="143" ht="30" customHeight="1">
      <c r="A143" s="10" t="inlineStr">
        <is>
          <t>DEF-142</t>
        </is>
      </c>
      <c r="B143" s="10" t="n"/>
      <c r="C143" s="5">
        <f>IF(B143="","",IFERROR(INDEX('Test Cases'!$B$2:$B$546,MATCH(B143,'Test Cases'!$A$2:$A$546,0)),""))</f>
        <v/>
      </c>
      <c r="D143" s="5">
        <f>IF(B143="","",IFERROR(INDEX('Test Cases'!$C$2:$C$546,MATCH(B143,'Test Cases'!$A$2:$A$546,0)),""))</f>
        <v/>
      </c>
      <c r="E143" s="5" t="n"/>
      <c r="F143" s="5" t="n"/>
      <c r="G143" s="5" t="n"/>
      <c r="H143" s="5" t="n"/>
      <c r="I143" s="5" t="n"/>
      <c r="J143" s="10" t="n"/>
      <c r="K143" s="10" t="n"/>
      <c r="L143" s="10" t="n"/>
      <c r="M143" s="5" t="n"/>
      <c r="N143" s="18" t="n"/>
      <c r="O143" s="5" t="n"/>
      <c r="P143" s="18" t="n"/>
      <c r="Q143" s="18" t="n"/>
      <c r="R143" s="10" t="n"/>
      <c r="S143" s="18" t="n"/>
      <c r="T143" s="5" t="n"/>
    </row>
    <row r="144" ht="30" customHeight="1">
      <c r="A144" s="10" t="inlineStr">
        <is>
          <t>DEF-143</t>
        </is>
      </c>
      <c r="B144" s="10" t="n"/>
      <c r="C144" s="5">
        <f>IF(B144="","",IFERROR(INDEX('Test Cases'!$B$2:$B$546,MATCH(B144,'Test Cases'!$A$2:$A$546,0)),""))</f>
        <v/>
      </c>
      <c r="D144" s="5">
        <f>IF(B144="","",IFERROR(INDEX('Test Cases'!$C$2:$C$546,MATCH(B144,'Test Cases'!$A$2:$A$546,0)),""))</f>
        <v/>
      </c>
      <c r="E144" s="5" t="n"/>
      <c r="F144" s="5" t="n"/>
      <c r="G144" s="5" t="n"/>
      <c r="H144" s="5" t="n"/>
      <c r="I144" s="5" t="n"/>
      <c r="J144" s="10" t="n"/>
      <c r="K144" s="10" t="n"/>
      <c r="L144" s="10" t="n"/>
      <c r="M144" s="5" t="n"/>
      <c r="N144" s="18" t="n"/>
      <c r="O144" s="5" t="n"/>
      <c r="P144" s="18" t="n"/>
      <c r="Q144" s="18" t="n"/>
      <c r="R144" s="10" t="n"/>
      <c r="S144" s="18" t="n"/>
      <c r="T144" s="5" t="n"/>
    </row>
    <row r="145" ht="30" customHeight="1">
      <c r="A145" s="10" t="inlineStr">
        <is>
          <t>DEF-144</t>
        </is>
      </c>
      <c r="B145" s="10" t="n"/>
      <c r="C145" s="5">
        <f>IF(B145="","",IFERROR(INDEX('Test Cases'!$B$2:$B$546,MATCH(B145,'Test Cases'!$A$2:$A$546,0)),""))</f>
        <v/>
      </c>
      <c r="D145" s="5">
        <f>IF(B145="","",IFERROR(INDEX('Test Cases'!$C$2:$C$546,MATCH(B145,'Test Cases'!$A$2:$A$546,0)),""))</f>
        <v/>
      </c>
      <c r="E145" s="5" t="n"/>
      <c r="F145" s="5" t="n"/>
      <c r="G145" s="5" t="n"/>
      <c r="H145" s="5" t="n"/>
      <c r="I145" s="5" t="n"/>
      <c r="J145" s="10" t="n"/>
      <c r="K145" s="10" t="n"/>
      <c r="L145" s="10" t="n"/>
      <c r="M145" s="5" t="n"/>
      <c r="N145" s="18" t="n"/>
      <c r="O145" s="5" t="n"/>
      <c r="P145" s="18" t="n"/>
      <c r="Q145" s="18" t="n"/>
      <c r="R145" s="10" t="n"/>
      <c r="S145" s="18" t="n"/>
      <c r="T145" s="5" t="n"/>
    </row>
    <row r="146" ht="30" customHeight="1">
      <c r="A146" s="10" t="inlineStr">
        <is>
          <t>DEF-145</t>
        </is>
      </c>
      <c r="B146" s="10" t="n"/>
      <c r="C146" s="5">
        <f>IF(B146="","",IFERROR(INDEX('Test Cases'!$B$2:$B$546,MATCH(B146,'Test Cases'!$A$2:$A$546,0)),""))</f>
        <v/>
      </c>
      <c r="D146" s="5">
        <f>IF(B146="","",IFERROR(INDEX('Test Cases'!$C$2:$C$546,MATCH(B146,'Test Cases'!$A$2:$A$546,0)),""))</f>
        <v/>
      </c>
      <c r="E146" s="5" t="n"/>
      <c r="F146" s="5" t="n"/>
      <c r="G146" s="5" t="n"/>
      <c r="H146" s="5" t="n"/>
      <c r="I146" s="5" t="n"/>
      <c r="J146" s="10" t="n"/>
      <c r="K146" s="10" t="n"/>
      <c r="L146" s="10" t="n"/>
      <c r="M146" s="5" t="n"/>
      <c r="N146" s="18" t="n"/>
      <c r="O146" s="5" t="n"/>
      <c r="P146" s="18" t="n"/>
      <c r="Q146" s="18" t="n"/>
      <c r="R146" s="10" t="n"/>
      <c r="S146" s="18" t="n"/>
      <c r="T146" s="5" t="n"/>
    </row>
    <row r="147" ht="30" customHeight="1">
      <c r="A147" s="10" t="inlineStr">
        <is>
          <t>DEF-146</t>
        </is>
      </c>
      <c r="B147" s="10" t="n"/>
      <c r="C147" s="5">
        <f>IF(B147="","",IFERROR(INDEX('Test Cases'!$B$2:$B$546,MATCH(B147,'Test Cases'!$A$2:$A$546,0)),""))</f>
        <v/>
      </c>
      <c r="D147" s="5">
        <f>IF(B147="","",IFERROR(INDEX('Test Cases'!$C$2:$C$546,MATCH(B147,'Test Cases'!$A$2:$A$546,0)),""))</f>
        <v/>
      </c>
      <c r="E147" s="5" t="n"/>
      <c r="F147" s="5" t="n"/>
      <c r="G147" s="5" t="n"/>
      <c r="H147" s="5" t="n"/>
      <c r="I147" s="5" t="n"/>
      <c r="J147" s="10" t="n"/>
      <c r="K147" s="10" t="n"/>
      <c r="L147" s="10" t="n"/>
      <c r="M147" s="5" t="n"/>
      <c r="N147" s="18" t="n"/>
      <c r="O147" s="5" t="n"/>
      <c r="P147" s="18" t="n"/>
      <c r="Q147" s="18" t="n"/>
      <c r="R147" s="10" t="n"/>
      <c r="S147" s="18" t="n"/>
      <c r="T147" s="5" t="n"/>
    </row>
    <row r="148" ht="30" customHeight="1">
      <c r="A148" s="10" t="inlineStr">
        <is>
          <t>DEF-147</t>
        </is>
      </c>
      <c r="B148" s="10" t="n"/>
      <c r="C148" s="5">
        <f>IF(B148="","",IFERROR(INDEX('Test Cases'!$B$2:$B$546,MATCH(B148,'Test Cases'!$A$2:$A$546,0)),""))</f>
        <v/>
      </c>
      <c r="D148" s="5">
        <f>IF(B148="","",IFERROR(INDEX('Test Cases'!$C$2:$C$546,MATCH(B148,'Test Cases'!$A$2:$A$546,0)),""))</f>
        <v/>
      </c>
      <c r="E148" s="5" t="n"/>
      <c r="F148" s="5" t="n"/>
      <c r="G148" s="5" t="n"/>
      <c r="H148" s="5" t="n"/>
      <c r="I148" s="5" t="n"/>
      <c r="J148" s="10" t="n"/>
      <c r="K148" s="10" t="n"/>
      <c r="L148" s="10" t="n"/>
      <c r="M148" s="5" t="n"/>
      <c r="N148" s="18" t="n"/>
      <c r="O148" s="5" t="n"/>
      <c r="P148" s="18" t="n"/>
      <c r="Q148" s="18" t="n"/>
      <c r="R148" s="10" t="n"/>
      <c r="S148" s="18" t="n"/>
      <c r="T148" s="5" t="n"/>
    </row>
    <row r="149" ht="30" customHeight="1">
      <c r="A149" s="10" t="inlineStr">
        <is>
          <t>DEF-148</t>
        </is>
      </c>
      <c r="B149" s="10" t="n"/>
      <c r="C149" s="5">
        <f>IF(B149="","",IFERROR(INDEX('Test Cases'!$B$2:$B$546,MATCH(B149,'Test Cases'!$A$2:$A$546,0)),""))</f>
        <v/>
      </c>
      <c r="D149" s="5">
        <f>IF(B149="","",IFERROR(INDEX('Test Cases'!$C$2:$C$546,MATCH(B149,'Test Cases'!$A$2:$A$546,0)),""))</f>
        <v/>
      </c>
      <c r="E149" s="5" t="n"/>
      <c r="F149" s="5" t="n"/>
      <c r="G149" s="5" t="n"/>
      <c r="H149" s="5" t="n"/>
      <c r="I149" s="5" t="n"/>
      <c r="J149" s="10" t="n"/>
      <c r="K149" s="10" t="n"/>
      <c r="L149" s="10" t="n"/>
      <c r="M149" s="5" t="n"/>
      <c r="N149" s="18" t="n"/>
      <c r="O149" s="5" t="n"/>
      <c r="P149" s="18" t="n"/>
      <c r="Q149" s="18" t="n"/>
      <c r="R149" s="10" t="n"/>
      <c r="S149" s="18" t="n"/>
      <c r="T149" s="5" t="n"/>
    </row>
    <row r="150" ht="30" customHeight="1">
      <c r="A150" s="10" t="inlineStr">
        <is>
          <t>DEF-149</t>
        </is>
      </c>
      <c r="B150" s="10" t="n"/>
      <c r="C150" s="5">
        <f>IF(B150="","",IFERROR(INDEX('Test Cases'!$B$2:$B$546,MATCH(B150,'Test Cases'!$A$2:$A$546,0)),""))</f>
        <v/>
      </c>
      <c r="D150" s="5">
        <f>IF(B150="","",IFERROR(INDEX('Test Cases'!$C$2:$C$546,MATCH(B150,'Test Cases'!$A$2:$A$546,0)),""))</f>
        <v/>
      </c>
      <c r="E150" s="5" t="n"/>
      <c r="F150" s="5" t="n"/>
      <c r="G150" s="5" t="n"/>
      <c r="H150" s="5" t="n"/>
      <c r="I150" s="5" t="n"/>
      <c r="J150" s="10" t="n"/>
      <c r="K150" s="10" t="n"/>
      <c r="L150" s="10" t="n"/>
      <c r="M150" s="5" t="n"/>
      <c r="N150" s="18" t="n"/>
      <c r="O150" s="5" t="n"/>
      <c r="P150" s="18" t="n"/>
      <c r="Q150" s="18" t="n"/>
      <c r="R150" s="10" t="n"/>
      <c r="S150" s="18" t="n"/>
      <c r="T150" s="5" t="n"/>
    </row>
    <row r="151" ht="30" customHeight="1">
      <c r="A151" s="10" t="inlineStr">
        <is>
          <t>DEF-150</t>
        </is>
      </c>
      <c r="B151" s="10" t="n"/>
      <c r="C151" s="5">
        <f>IF(B151="","",IFERROR(INDEX('Test Cases'!$B$2:$B$546,MATCH(B151,'Test Cases'!$A$2:$A$546,0)),""))</f>
        <v/>
      </c>
      <c r="D151" s="5">
        <f>IF(B151="","",IFERROR(INDEX('Test Cases'!$C$2:$C$546,MATCH(B151,'Test Cases'!$A$2:$A$546,0)),""))</f>
        <v/>
      </c>
      <c r="E151" s="5" t="n"/>
      <c r="F151" s="5" t="n"/>
      <c r="G151" s="5" t="n"/>
      <c r="H151" s="5" t="n"/>
      <c r="I151" s="5" t="n"/>
      <c r="J151" s="10" t="n"/>
      <c r="K151" s="10" t="n"/>
      <c r="L151" s="10" t="n"/>
      <c r="M151" s="5" t="n"/>
      <c r="N151" s="18" t="n"/>
      <c r="O151" s="5" t="n"/>
      <c r="P151" s="18" t="n"/>
      <c r="Q151" s="18" t="n"/>
      <c r="R151" s="10" t="n"/>
      <c r="S151" s="18" t="n"/>
      <c r="T151" s="5" t="n"/>
    </row>
    <row r="152" ht="30" customHeight="1">
      <c r="A152" s="10" t="inlineStr">
        <is>
          <t>DEF-151</t>
        </is>
      </c>
      <c r="B152" s="10" t="n"/>
      <c r="C152" s="5">
        <f>IF(B152="","",IFERROR(INDEX('Test Cases'!$B$2:$B$546,MATCH(B152,'Test Cases'!$A$2:$A$546,0)),""))</f>
        <v/>
      </c>
      <c r="D152" s="5">
        <f>IF(B152="","",IFERROR(INDEX('Test Cases'!$C$2:$C$546,MATCH(B152,'Test Cases'!$A$2:$A$546,0)),""))</f>
        <v/>
      </c>
      <c r="E152" s="5" t="n"/>
      <c r="F152" s="5" t="n"/>
      <c r="G152" s="5" t="n"/>
      <c r="H152" s="5" t="n"/>
      <c r="I152" s="5" t="n"/>
      <c r="J152" s="10" t="n"/>
      <c r="K152" s="10" t="n"/>
      <c r="L152" s="10" t="n"/>
      <c r="M152" s="5" t="n"/>
      <c r="N152" s="18" t="n"/>
      <c r="O152" s="5" t="n"/>
      <c r="P152" s="18" t="n"/>
      <c r="Q152" s="18" t="n"/>
      <c r="R152" s="10" t="n"/>
      <c r="S152" s="18" t="n"/>
      <c r="T152" s="5" t="n"/>
    </row>
    <row r="153" ht="30" customHeight="1">
      <c r="A153" s="10" t="inlineStr">
        <is>
          <t>DEF-152</t>
        </is>
      </c>
      <c r="B153" s="10" t="n"/>
      <c r="C153" s="5">
        <f>IF(B153="","",IFERROR(INDEX('Test Cases'!$B$2:$B$546,MATCH(B153,'Test Cases'!$A$2:$A$546,0)),""))</f>
        <v/>
      </c>
      <c r="D153" s="5">
        <f>IF(B153="","",IFERROR(INDEX('Test Cases'!$C$2:$C$546,MATCH(B153,'Test Cases'!$A$2:$A$546,0)),""))</f>
        <v/>
      </c>
      <c r="E153" s="5" t="n"/>
      <c r="F153" s="5" t="n"/>
      <c r="G153" s="5" t="n"/>
      <c r="H153" s="5" t="n"/>
      <c r="I153" s="5" t="n"/>
      <c r="J153" s="10" t="n"/>
      <c r="K153" s="10" t="n"/>
      <c r="L153" s="10" t="n"/>
      <c r="M153" s="5" t="n"/>
      <c r="N153" s="18" t="n"/>
      <c r="O153" s="5" t="n"/>
      <c r="P153" s="18" t="n"/>
      <c r="Q153" s="18" t="n"/>
      <c r="R153" s="10" t="n"/>
      <c r="S153" s="18" t="n"/>
      <c r="T153" s="5" t="n"/>
    </row>
    <row r="154" ht="30" customHeight="1">
      <c r="A154" s="10" t="inlineStr">
        <is>
          <t>DEF-153</t>
        </is>
      </c>
      <c r="B154" s="10" t="n"/>
      <c r="C154" s="5">
        <f>IF(B154="","",IFERROR(INDEX('Test Cases'!$B$2:$B$546,MATCH(B154,'Test Cases'!$A$2:$A$546,0)),""))</f>
        <v/>
      </c>
      <c r="D154" s="5">
        <f>IF(B154="","",IFERROR(INDEX('Test Cases'!$C$2:$C$546,MATCH(B154,'Test Cases'!$A$2:$A$546,0)),""))</f>
        <v/>
      </c>
      <c r="E154" s="5" t="n"/>
      <c r="F154" s="5" t="n"/>
      <c r="G154" s="5" t="n"/>
      <c r="H154" s="5" t="n"/>
      <c r="I154" s="5" t="n"/>
      <c r="J154" s="10" t="n"/>
      <c r="K154" s="10" t="n"/>
      <c r="L154" s="10" t="n"/>
      <c r="M154" s="5" t="n"/>
      <c r="N154" s="18" t="n"/>
      <c r="O154" s="5" t="n"/>
      <c r="P154" s="18" t="n"/>
      <c r="Q154" s="18" t="n"/>
      <c r="R154" s="10" t="n"/>
      <c r="S154" s="18" t="n"/>
      <c r="T154" s="5" t="n"/>
    </row>
    <row r="155" ht="30" customHeight="1">
      <c r="A155" s="10" t="inlineStr">
        <is>
          <t>DEF-154</t>
        </is>
      </c>
      <c r="B155" s="10" t="n"/>
      <c r="C155" s="5">
        <f>IF(B155="","",IFERROR(INDEX('Test Cases'!$B$2:$B$546,MATCH(B155,'Test Cases'!$A$2:$A$546,0)),""))</f>
        <v/>
      </c>
      <c r="D155" s="5">
        <f>IF(B155="","",IFERROR(INDEX('Test Cases'!$C$2:$C$546,MATCH(B155,'Test Cases'!$A$2:$A$546,0)),""))</f>
        <v/>
      </c>
      <c r="E155" s="5" t="n"/>
      <c r="F155" s="5" t="n"/>
      <c r="G155" s="5" t="n"/>
      <c r="H155" s="5" t="n"/>
      <c r="I155" s="5" t="n"/>
      <c r="J155" s="10" t="n"/>
      <c r="K155" s="10" t="n"/>
      <c r="L155" s="10" t="n"/>
      <c r="M155" s="5" t="n"/>
      <c r="N155" s="18" t="n"/>
      <c r="O155" s="5" t="n"/>
      <c r="P155" s="18" t="n"/>
      <c r="Q155" s="18" t="n"/>
      <c r="R155" s="10" t="n"/>
      <c r="S155" s="18" t="n"/>
      <c r="T155" s="5" t="n"/>
    </row>
    <row r="156" ht="30" customHeight="1">
      <c r="A156" s="10" t="inlineStr">
        <is>
          <t>DEF-155</t>
        </is>
      </c>
      <c r="B156" s="10" t="n"/>
      <c r="C156" s="5">
        <f>IF(B156="","",IFERROR(INDEX('Test Cases'!$B$2:$B$546,MATCH(B156,'Test Cases'!$A$2:$A$546,0)),""))</f>
        <v/>
      </c>
      <c r="D156" s="5">
        <f>IF(B156="","",IFERROR(INDEX('Test Cases'!$C$2:$C$546,MATCH(B156,'Test Cases'!$A$2:$A$546,0)),""))</f>
        <v/>
      </c>
      <c r="E156" s="5" t="n"/>
      <c r="F156" s="5" t="n"/>
      <c r="G156" s="5" t="n"/>
      <c r="H156" s="5" t="n"/>
      <c r="I156" s="5" t="n"/>
      <c r="J156" s="10" t="n"/>
      <c r="K156" s="10" t="n"/>
      <c r="L156" s="10" t="n"/>
      <c r="M156" s="5" t="n"/>
      <c r="N156" s="18" t="n"/>
      <c r="O156" s="5" t="n"/>
      <c r="P156" s="18" t="n"/>
      <c r="Q156" s="18" t="n"/>
      <c r="R156" s="10" t="n"/>
      <c r="S156" s="18" t="n"/>
      <c r="T156" s="5" t="n"/>
    </row>
    <row r="157" ht="30" customHeight="1">
      <c r="A157" s="10" t="inlineStr">
        <is>
          <t>DEF-156</t>
        </is>
      </c>
      <c r="B157" s="10" t="n"/>
      <c r="C157" s="5">
        <f>IF(B157="","",IFERROR(INDEX('Test Cases'!$B$2:$B$546,MATCH(B157,'Test Cases'!$A$2:$A$546,0)),""))</f>
        <v/>
      </c>
      <c r="D157" s="5">
        <f>IF(B157="","",IFERROR(INDEX('Test Cases'!$C$2:$C$546,MATCH(B157,'Test Cases'!$A$2:$A$546,0)),""))</f>
        <v/>
      </c>
      <c r="E157" s="5" t="n"/>
      <c r="F157" s="5" t="n"/>
      <c r="G157" s="5" t="n"/>
      <c r="H157" s="5" t="n"/>
      <c r="I157" s="5" t="n"/>
      <c r="J157" s="10" t="n"/>
      <c r="K157" s="10" t="n"/>
      <c r="L157" s="10" t="n"/>
      <c r="M157" s="5" t="n"/>
      <c r="N157" s="18" t="n"/>
      <c r="O157" s="5" t="n"/>
      <c r="P157" s="18" t="n"/>
      <c r="Q157" s="18" t="n"/>
      <c r="R157" s="10" t="n"/>
      <c r="S157" s="18" t="n"/>
      <c r="T157" s="5" t="n"/>
    </row>
    <row r="158" ht="30" customHeight="1">
      <c r="A158" s="10" t="inlineStr">
        <is>
          <t>DEF-157</t>
        </is>
      </c>
      <c r="B158" s="10" t="n"/>
      <c r="C158" s="5">
        <f>IF(B158="","",IFERROR(INDEX('Test Cases'!$B$2:$B$546,MATCH(B158,'Test Cases'!$A$2:$A$546,0)),""))</f>
        <v/>
      </c>
      <c r="D158" s="5">
        <f>IF(B158="","",IFERROR(INDEX('Test Cases'!$C$2:$C$546,MATCH(B158,'Test Cases'!$A$2:$A$546,0)),""))</f>
        <v/>
      </c>
      <c r="E158" s="5" t="n"/>
      <c r="F158" s="5" t="n"/>
      <c r="G158" s="5" t="n"/>
      <c r="H158" s="5" t="n"/>
      <c r="I158" s="5" t="n"/>
      <c r="J158" s="10" t="n"/>
      <c r="K158" s="10" t="n"/>
      <c r="L158" s="10" t="n"/>
      <c r="M158" s="5" t="n"/>
      <c r="N158" s="18" t="n"/>
      <c r="O158" s="5" t="n"/>
      <c r="P158" s="18" t="n"/>
      <c r="Q158" s="18" t="n"/>
      <c r="R158" s="10" t="n"/>
      <c r="S158" s="18" t="n"/>
      <c r="T158" s="5" t="n"/>
    </row>
    <row r="159" ht="30" customHeight="1">
      <c r="A159" s="10" t="inlineStr">
        <is>
          <t>DEF-158</t>
        </is>
      </c>
      <c r="B159" s="10" t="n"/>
      <c r="C159" s="5">
        <f>IF(B159="","",IFERROR(INDEX('Test Cases'!$B$2:$B$546,MATCH(B159,'Test Cases'!$A$2:$A$546,0)),""))</f>
        <v/>
      </c>
      <c r="D159" s="5">
        <f>IF(B159="","",IFERROR(INDEX('Test Cases'!$C$2:$C$546,MATCH(B159,'Test Cases'!$A$2:$A$546,0)),""))</f>
        <v/>
      </c>
      <c r="E159" s="5" t="n"/>
      <c r="F159" s="5" t="n"/>
      <c r="G159" s="5" t="n"/>
      <c r="H159" s="5" t="n"/>
      <c r="I159" s="5" t="n"/>
      <c r="J159" s="10" t="n"/>
      <c r="K159" s="10" t="n"/>
      <c r="L159" s="10" t="n"/>
      <c r="M159" s="5" t="n"/>
      <c r="N159" s="18" t="n"/>
      <c r="O159" s="5" t="n"/>
      <c r="P159" s="18" t="n"/>
      <c r="Q159" s="18" t="n"/>
      <c r="R159" s="10" t="n"/>
      <c r="S159" s="18" t="n"/>
      <c r="T159" s="5" t="n"/>
    </row>
    <row r="160" ht="30" customHeight="1">
      <c r="A160" s="10" t="inlineStr">
        <is>
          <t>DEF-159</t>
        </is>
      </c>
      <c r="B160" s="10" t="n"/>
      <c r="C160" s="5">
        <f>IF(B160="","",IFERROR(INDEX('Test Cases'!$B$2:$B$546,MATCH(B160,'Test Cases'!$A$2:$A$546,0)),""))</f>
        <v/>
      </c>
      <c r="D160" s="5">
        <f>IF(B160="","",IFERROR(INDEX('Test Cases'!$C$2:$C$546,MATCH(B160,'Test Cases'!$A$2:$A$546,0)),""))</f>
        <v/>
      </c>
      <c r="E160" s="5" t="n"/>
      <c r="F160" s="5" t="n"/>
      <c r="G160" s="5" t="n"/>
      <c r="H160" s="5" t="n"/>
      <c r="I160" s="5" t="n"/>
      <c r="J160" s="10" t="n"/>
      <c r="K160" s="10" t="n"/>
      <c r="L160" s="10" t="n"/>
      <c r="M160" s="5" t="n"/>
      <c r="N160" s="18" t="n"/>
      <c r="O160" s="5" t="n"/>
      <c r="P160" s="18" t="n"/>
      <c r="Q160" s="18" t="n"/>
      <c r="R160" s="10" t="n"/>
      <c r="S160" s="18" t="n"/>
      <c r="T160" s="5" t="n"/>
    </row>
    <row r="161" ht="30" customHeight="1">
      <c r="A161" s="10" t="inlineStr">
        <is>
          <t>DEF-160</t>
        </is>
      </c>
      <c r="B161" s="10" t="n"/>
      <c r="C161" s="5">
        <f>IF(B161="","",IFERROR(INDEX('Test Cases'!$B$2:$B$546,MATCH(B161,'Test Cases'!$A$2:$A$546,0)),""))</f>
        <v/>
      </c>
      <c r="D161" s="5">
        <f>IF(B161="","",IFERROR(INDEX('Test Cases'!$C$2:$C$546,MATCH(B161,'Test Cases'!$A$2:$A$546,0)),""))</f>
        <v/>
      </c>
      <c r="E161" s="5" t="n"/>
      <c r="F161" s="5" t="n"/>
      <c r="G161" s="5" t="n"/>
      <c r="H161" s="5" t="n"/>
      <c r="I161" s="5" t="n"/>
      <c r="J161" s="10" t="n"/>
      <c r="K161" s="10" t="n"/>
      <c r="L161" s="10" t="n"/>
      <c r="M161" s="5" t="n"/>
      <c r="N161" s="18" t="n"/>
      <c r="O161" s="5" t="n"/>
      <c r="P161" s="18" t="n"/>
      <c r="Q161" s="18" t="n"/>
      <c r="R161" s="10" t="n"/>
      <c r="S161" s="18" t="n"/>
      <c r="T161" s="5" t="n"/>
    </row>
    <row r="162" ht="30" customHeight="1">
      <c r="A162" s="10" t="inlineStr">
        <is>
          <t>DEF-161</t>
        </is>
      </c>
      <c r="B162" s="10" t="n"/>
      <c r="C162" s="5">
        <f>IF(B162="","",IFERROR(INDEX('Test Cases'!$B$2:$B$546,MATCH(B162,'Test Cases'!$A$2:$A$546,0)),""))</f>
        <v/>
      </c>
      <c r="D162" s="5">
        <f>IF(B162="","",IFERROR(INDEX('Test Cases'!$C$2:$C$546,MATCH(B162,'Test Cases'!$A$2:$A$546,0)),""))</f>
        <v/>
      </c>
      <c r="E162" s="5" t="n"/>
      <c r="F162" s="5" t="n"/>
      <c r="G162" s="5" t="n"/>
      <c r="H162" s="5" t="n"/>
      <c r="I162" s="5" t="n"/>
      <c r="J162" s="10" t="n"/>
      <c r="K162" s="10" t="n"/>
      <c r="L162" s="10" t="n"/>
      <c r="M162" s="5" t="n"/>
      <c r="N162" s="18" t="n"/>
      <c r="O162" s="5" t="n"/>
      <c r="P162" s="18" t="n"/>
      <c r="Q162" s="18" t="n"/>
      <c r="R162" s="10" t="n"/>
      <c r="S162" s="18" t="n"/>
      <c r="T162" s="5" t="n"/>
    </row>
    <row r="163" ht="30" customHeight="1">
      <c r="A163" s="10" t="inlineStr">
        <is>
          <t>DEF-162</t>
        </is>
      </c>
      <c r="B163" s="10" t="n"/>
      <c r="C163" s="5">
        <f>IF(B163="","",IFERROR(INDEX('Test Cases'!$B$2:$B$546,MATCH(B163,'Test Cases'!$A$2:$A$546,0)),""))</f>
        <v/>
      </c>
      <c r="D163" s="5">
        <f>IF(B163="","",IFERROR(INDEX('Test Cases'!$C$2:$C$546,MATCH(B163,'Test Cases'!$A$2:$A$546,0)),""))</f>
        <v/>
      </c>
      <c r="E163" s="5" t="n"/>
      <c r="F163" s="5" t="n"/>
      <c r="G163" s="5" t="n"/>
      <c r="H163" s="5" t="n"/>
      <c r="I163" s="5" t="n"/>
      <c r="J163" s="10" t="n"/>
      <c r="K163" s="10" t="n"/>
      <c r="L163" s="10" t="n"/>
      <c r="M163" s="5" t="n"/>
      <c r="N163" s="18" t="n"/>
      <c r="O163" s="5" t="n"/>
      <c r="P163" s="18" t="n"/>
      <c r="Q163" s="18" t="n"/>
      <c r="R163" s="10" t="n"/>
      <c r="S163" s="18" t="n"/>
      <c r="T163" s="5" t="n"/>
    </row>
    <row r="164" ht="30" customHeight="1">
      <c r="A164" s="10" t="inlineStr">
        <is>
          <t>DEF-163</t>
        </is>
      </c>
      <c r="B164" s="10" t="n"/>
      <c r="C164" s="5">
        <f>IF(B164="","",IFERROR(INDEX('Test Cases'!$B$2:$B$546,MATCH(B164,'Test Cases'!$A$2:$A$546,0)),""))</f>
        <v/>
      </c>
      <c r="D164" s="5">
        <f>IF(B164="","",IFERROR(INDEX('Test Cases'!$C$2:$C$546,MATCH(B164,'Test Cases'!$A$2:$A$546,0)),""))</f>
        <v/>
      </c>
      <c r="E164" s="5" t="n"/>
      <c r="F164" s="5" t="n"/>
      <c r="G164" s="5" t="n"/>
      <c r="H164" s="5" t="n"/>
      <c r="I164" s="5" t="n"/>
      <c r="J164" s="10" t="n"/>
      <c r="K164" s="10" t="n"/>
      <c r="L164" s="10" t="n"/>
      <c r="M164" s="5" t="n"/>
      <c r="N164" s="18" t="n"/>
      <c r="O164" s="5" t="n"/>
      <c r="P164" s="18" t="n"/>
      <c r="Q164" s="18" t="n"/>
      <c r="R164" s="10" t="n"/>
      <c r="S164" s="18" t="n"/>
      <c r="T164" s="5" t="n"/>
    </row>
    <row r="165" ht="30" customHeight="1">
      <c r="A165" s="10" t="inlineStr">
        <is>
          <t>DEF-164</t>
        </is>
      </c>
      <c r="B165" s="10" t="n"/>
      <c r="C165" s="5">
        <f>IF(B165="","",IFERROR(INDEX('Test Cases'!$B$2:$B$546,MATCH(B165,'Test Cases'!$A$2:$A$546,0)),""))</f>
        <v/>
      </c>
      <c r="D165" s="5">
        <f>IF(B165="","",IFERROR(INDEX('Test Cases'!$C$2:$C$546,MATCH(B165,'Test Cases'!$A$2:$A$546,0)),""))</f>
        <v/>
      </c>
      <c r="E165" s="5" t="n"/>
      <c r="F165" s="5" t="n"/>
      <c r="G165" s="5" t="n"/>
      <c r="H165" s="5" t="n"/>
      <c r="I165" s="5" t="n"/>
      <c r="J165" s="10" t="n"/>
      <c r="K165" s="10" t="n"/>
      <c r="L165" s="10" t="n"/>
      <c r="M165" s="5" t="n"/>
      <c r="N165" s="18" t="n"/>
      <c r="O165" s="5" t="n"/>
      <c r="P165" s="18" t="n"/>
      <c r="Q165" s="18" t="n"/>
      <c r="R165" s="10" t="n"/>
      <c r="S165" s="18" t="n"/>
      <c r="T165" s="5" t="n"/>
    </row>
    <row r="166" ht="30" customHeight="1">
      <c r="A166" s="10" t="inlineStr">
        <is>
          <t>DEF-165</t>
        </is>
      </c>
      <c r="B166" s="10" t="n"/>
      <c r="C166" s="5">
        <f>IF(B166="","",IFERROR(INDEX('Test Cases'!$B$2:$B$546,MATCH(B166,'Test Cases'!$A$2:$A$546,0)),""))</f>
        <v/>
      </c>
      <c r="D166" s="5">
        <f>IF(B166="","",IFERROR(INDEX('Test Cases'!$C$2:$C$546,MATCH(B166,'Test Cases'!$A$2:$A$546,0)),""))</f>
        <v/>
      </c>
      <c r="E166" s="5" t="n"/>
      <c r="F166" s="5" t="n"/>
      <c r="G166" s="5" t="n"/>
      <c r="H166" s="5" t="n"/>
      <c r="I166" s="5" t="n"/>
      <c r="J166" s="10" t="n"/>
      <c r="K166" s="10" t="n"/>
      <c r="L166" s="10" t="n"/>
      <c r="M166" s="5" t="n"/>
      <c r="N166" s="18" t="n"/>
      <c r="O166" s="5" t="n"/>
      <c r="P166" s="18" t="n"/>
      <c r="Q166" s="18" t="n"/>
      <c r="R166" s="10" t="n"/>
      <c r="S166" s="18" t="n"/>
      <c r="T166" s="5" t="n"/>
    </row>
    <row r="167" ht="30" customHeight="1">
      <c r="A167" s="10" t="inlineStr">
        <is>
          <t>DEF-166</t>
        </is>
      </c>
      <c r="B167" s="10" t="n"/>
      <c r="C167" s="5">
        <f>IF(B167="","",IFERROR(INDEX('Test Cases'!$B$2:$B$546,MATCH(B167,'Test Cases'!$A$2:$A$546,0)),""))</f>
        <v/>
      </c>
      <c r="D167" s="5">
        <f>IF(B167="","",IFERROR(INDEX('Test Cases'!$C$2:$C$546,MATCH(B167,'Test Cases'!$A$2:$A$546,0)),""))</f>
        <v/>
      </c>
      <c r="E167" s="5" t="n"/>
      <c r="F167" s="5" t="n"/>
      <c r="G167" s="5" t="n"/>
      <c r="H167" s="5" t="n"/>
      <c r="I167" s="5" t="n"/>
      <c r="J167" s="10" t="n"/>
      <c r="K167" s="10" t="n"/>
      <c r="L167" s="10" t="n"/>
      <c r="M167" s="5" t="n"/>
      <c r="N167" s="18" t="n"/>
      <c r="O167" s="5" t="n"/>
      <c r="P167" s="18" t="n"/>
      <c r="Q167" s="18" t="n"/>
      <c r="R167" s="10" t="n"/>
      <c r="S167" s="18" t="n"/>
      <c r="T167" s="5" t="n"/>
    </row>
    <row r="168" ht="30" customHeight="1">
      <c r="A168" s="10" t="inlineStr">
        <is>
          <t>DEF-167</t>
        </is>
      </c>
      <c r="B168" s="10" t="n"/>
      <c r="C168" s="5">
        <f>IF(B168="","",IFERROR(INDEX('Test Cases'!$B$2:$B$546,MATCH(B168,'Test Cases'!$A$2:$A$546,0)),""))</f>
        <v/>
      </c>
      <c r="D168" s="5">
        <f>IF(B168="","",IFERROR(INDEX('Test Cases'!$C$2:$C$546,MATCH(B168,'Test Cases'!$A$2:$A$546,0)),""))</f>
        <v/>
      </c>
      <c r="E168" s="5" t="n"/>
      <c r="F168" s="5" t="n"/>
      <c r="G168" s="5" t="n"/>
      <c r="H168" s="5" t="n"/>
      <c r="I168" s="5" t="n"/>
      <c r="J168" s="10" t="n"/>
      <c r="K168" s="10" t="n"/>
      <c r="L168" s="10" t="n"/>
      <c r="M168" s="5" t="n"/>
      <c r="N168" s="18" t="n"/>
      <c r="O168" s="5" t="n"/>
      <c r="P168" s="18" t="n"/>
      <c r="Q168" s="18" t="n"/>
      <c r="R168" s="10" t="n"/>
      <c r="S168" s="18" t="n"/>
      <c r="T168" s="5" t="n"/>
    </row>
    <row r="169" ht="30" customHeight="1">
      <c r="A169" s="10" t="inlineStr">
        <is>
          <t>DEF-168</t>
        </is>
      </c>
      <c r="B169" s="10" t="n"/>
      <c r="C169" s="5">
        <f>IF(B169="","",IFERROR(INDEX('Test Cases'!$B$2:$B$546,MATCH(B169,'Test Cases'!$A$2:$A$546,0)),""))</f>
        <v/>
      </c>
      <c r="D169" s="5">
        <f>IF(B169="","",IFERROR(INDEX('Test Cases'!$C$2:$C$546,MATCH(B169,'Test Cases'!$A$2:$A$546,0)),""))</f>
        <v/>
      </c>
      <c r="E169" s="5" t="n"/>
      <c r="F169" s="5" t="n"/>
      <c r="G169" s="5" t="n"/>
      <c r="H169" s="5" t="n"/>
      <c r="I169" s="5" t="n"/>
      <c r="J169" s="10" t="n"/>
      <c r="K169" s="10" t="n"/>
      <c r="L169" s="10" t="n"/>
      <c r="M169" s="5" t="n"/>
      <c r="N169" s="18" t="n"/>
      <c r="O169" s="5" t="n"/>
      <c r="P169" s="18" t="n"/>
      <c r="Q169" s="18" t="n"/>
      <c r="R169" s="10" t="n"/>
      <c r="S169" s="18" t="n"/>
      <c r="T169" s="5" t="n"/>
    </row>
    <row r="170" ht="30" customHeight="1">
      <c r="A170" s="10" t="inlineStr">
        <is>
          <t>DEF-169</t>
        </is>
      </c>
      <c r="B170" s="10" t="n"/>
      <c r="C170" s="5">
        <f>IF(B170="","",IFERROR(INDEX('Test Cases'!$B$2:$B$546,MATCH(B170,'Test Cases'!$A$2:$A$546,0)),""))</f>
        <v/>
      </c>
      <c r="D170" s="5">
        <f>IF(B170="","",IFERROR(INDEX('Test Cases'!$C$2:$C$546,MATCH(B170,'Test Cases'!$A$2:$A$546,0)),""))</f>
        <v/>
      </c>
      <c r="E170" s="5" t="n"/>
      <c r="F170" s="5" t="n"/>
      <c r="G170" s="5" t="n"/>
      <c r="H170" s="5" t="n"/>
      <c r="I170" s="5" t="n"/>
      <c r="J170" s="10" t="n"/>
      <c r="K170" s="10" t="n"/>
      <c r="L170" s="10" t="n"/>
      <c r="M170" s="5" t="n"/>
      <c r="N170" s="18" t="n"/>
      <c r="O170" s="5" t="n"/>
      <c r="P170" s="18" t="n"/>
      <c r="Q170" s="18" t="n"/>
      <c r="R170" s="10" t="n"/>
      <c r="S170" s="18" t="n"/>
      <c r="T170" s="5" t="n"/>
    </row>
    <row r="171" ht="30" customHeight="1">
      <c r="A171" s="10" t="inlineStr">
        <is>
          <t>DEF-170</t>
        </is>
      </c>
      <c r="B171" s="10" t="n"/>
      <c r="C171" s="5">
        <f>IF(B171="","",IFERROR(INDEX('Test Cases'!$B$2:$B$546,MATCH(B171,'Test Cases'!$A$2:$A$546,0)),""))</f>
        <v/>
      </c>
      <c r="D171" s="5">
        <f>IF(B171="","",IFERROR(INDEX('Test Cases'!$C$2:$C$546,MATCH(B171,'Test Cases'!$A$2:$A$546,0)),""))</f>
        <v/>
      </c>
      <c r="E171" s="5" t="n"/>
      <c r="F171" s="5" t="n"/>
      <c r="G171" s="5" t="n"/>
      <c r="H171" s="5" t="n"/>
      <c r="I171" s="5" t="n"/>
      <c r="J171" s="10" t="n"/>
      <c r="K171" s="10" t="n"/>
      <c r="L171" s="10" t="n"/>
      <c r="M171" s="5" t="n"/>
      <c r="N171" s="18" t="n"/>
      <c r="O171" s="5" t="n"/>
      <c r="P171" s="18" t="n"/>
      <c r="Q171" s="18" t="n"/>
      <c r="R171" s="10" t="n"/>
      <c r="S171" s="18" t="n"/>
      <c r="T171" s="5" t="n"/>
    </row>
    <row r="172" ht="30" customHeight="1">
      <c r="A172" s="10" t="inlineStr">
        <is>
          <t>DEF-171</t>
        </is>
      </c>
      <c r="B172" s="10" t="n"/>
      <c r="C172" s="5">
        <f>IF(B172="","",IFERROR(INDEX('Test Cases'!$B$2:$B$546,MATCH(B172,'Test Cases'!$A$2:$A$546,0)),""))</f>
        <v/>
      </c>
      <c r="D172" s="5">
        <f>IF(B172="","",IFERROR(INDEX('Test Cases'!$C$2:$C$546,MATCH(B172,'Test Cases'!$A$2:$A$546,0)),""))</f>
        <v/>
      </c>
      <c r="E172" s="5" t="n"/>
      <c r="F172" s="5" t="n"/>
      <c r="G172" s="5" t="n"/>
      <c r="H172" s="5" t="n"/>
      <c r="I172" s="5" t="n"/>
      <c r="J172" s="10" t="n"/>
      <c r="K172" s="10" t="n"/>
      <c r="L172" s="10" t="n"/>
      <c r="M172" s="5" t="n"/>
      <c r="N172" s="18" t="n"/>
      <c r="O172" s="5" t="n"/>
      <c r="P172" s="18" t="n"/>
      <c r="Q172" s="18" t="n"/>
      <c r="R172" s="10" t="n"/>
      <c r="S172" s="18" t="n"/>
      <c r="T172" s="5" t="n"/>
    </row>
    <row r="173" ht="30" customHeight="1">
      <c r="A173" s="10" t="inlineStr">
        <is>
          <t>DEF-172</t>
        </is>
      </c>
      <c r="B173" s="10" t="n"/>
      <c r="C173" s="5">
        <f>IF(B173="","",IFERROR(INDEX('Test Cases'!$B$2:$B$546,MATCH(B173,'Test Cases'!$A$2:$A$546,0)),""))</f>
        <v/>
      </c>
      <c r="D173" s="5">
        <f>IF(B173="","",IFERROR(INDEX('Test Cases'!$C$2:$C$546,MATCH(B173,'Test Cases'!$A$2:$A$546,0)),""))</f>
        <v/>
      </c>
      <c r="E173" s="5" t="n"/>
      <c r="F173" s="5" t="n"/>
      <c r="G173" s="5" t="n"/>
      <c r="H173" s="5" t="n"/>
      <c r="I173" s="5" t="n"/>
      <c r="J173" s="10" t="n"/>
      <c r="K173" s="10" t="n"/>
      <c r="L173" s="10" t="n"/>
      <c r="M173" s="5" t="n"/>
      <c r="N173" s="18" t="n"/>
      <c r="O173" s="5" t="n"/>
      <c r="P173" s="18" t="n"/>
      <c r="Q173" s="18" t="n"/>
      <c r="R173" s="10" t="n"/>
      <c r="S173" s="18" t="n"/>
      <c r="T173" s="5" t="n"/>
    </row>
    <row r="174" ht="30" customHeight="1">
      <c r="A174" s="10" t="inlineStr">
        <is>
          <t>DEF-173</t>
        </is>
      </c>
      <c r="B174" s="10" t="n"/>
      <c r="C174" s="5">
        <f>IF(B174="","",IFERROR(INDEX('Test Cases'!$B$2:$B$546,MATCH(B174,'Test Cases'!$A$2:$A$546,0)),""))</f>
        <v/>
      </c>
      <c r="D174" s="5">
        <f>IF(B174="","",IFERROR(INDEX('Test Cases'!$C$2:$C$546,MATCH(B174,'Test Cases'!$A$2:$A$546,0)),""))</f>
        <v/>
      </c>
      <c r="E174" s="5" t="n"/>
      <c r="F174" s="5" t="n"/>
      <c r="G174" s="5" t="n"/>
      <c r="H174" s="5" t="n"/>
      <c r="I174" s="5" t="n"/>
      <c r="J174" s="10" t="n"/>
      <c r="K174" s="10" t="n"/>
      <c r="L174" s="10" t="n"/>
      <c r="M174" s="5" t="n"/>
      <c r="N174" s="18" t="n"/>
      <c r="O174" s="5" t="n"/>
      <c r="P174" s="18" t="n"/>
      <c r="Q174" s="18" t="n"/>
      <c r="R174" s="10" t="n"/>
      <c r="S174" s="18" t="n"/>
      <c r="T174" s="5" t="n"/>
    </row>
    <row r="175" ht="30" customHeight="1">
      <c r="A175" s="10" t="inlineStr">
        <is>
          <t>DEF-174</t>
        </is>
      </c>
      <c r="B175" s="10" t="n"/>
      <c r="C175" s="5">
        <f>IF(B175="","",IFERROR(INDEX('Test Cases'!$B$2:$B$546,MATCH(B175,'Test Cases'!$A$2:$A$546,0)),""))</f>
        <v/>
      </c>
      <c r="D175" s="5">
        <f>IF(B175="","",IFERROR(INDEX('Test Cases'!$C$2:$C$546,MATCH(B175,'Test Cases'!$A$2:$A$546,0)),""))</f>
        <v/>
      </c>
      <c r="E175" s="5" t="n"/>
      <c r="F175" s="5" t="n"/>
      <c r="G175" s="5" t="n"/>
      <c r="H175" s="5" t="n"/>
      <c r="I175" s="5" t="n"/>
      <c r="J175" s="10" t="n"/>
      <c r="K175" s="10" t="n"/>
      <c r="L175" s="10" t="n"/>
      <c r="M175" s="5" t="n"/>
      <c r="N175" s="18" t="n"/>
      <c r="O175" s="5" t="n"/>
      <c r="P175" s="18" t="n"/>
      <c r="Q175" s="18" t="n"/>
      <c r="R175" s="10" t="n"/>
      <c r="S175" s="18" t="n"/>
      <c r="T175" s="5" t="n"/>
    </row>
    <row r="176" ht="30" customHeight="1">
      <c r="A176" s="10" t="inlineStr">
        <is>
          <t>DEF-175</t>
        </is>
      </c>
      <c r="B176" s="10" t="n"/>
      <c r="C176" s="5">
        <f>IF(B176="","",IFERROR(INDEX('Test Cases'!$B$2:$B$546,MATCH(B176,'Test Cases'!$A$2:$A$546,0)),""))</f>
        <v/>
      </c>
      <c r="D176" s="5">
        <f>IF(B176="","",IFERROR(INDEX('Test Cases'!$C$2:$C$546,MATCH(B176,'Test Cases'!$A$2:$A$546,0)),""))</f>
        <v/>
      </c>
      <c r="E176" s="5" t="n"/>
      <c r="F176" s="5" t="n"/>
      <c r="G176" s="5" t="n"/>
      <c r="H176" s="5" t="n"/>
      <c r="I176" s="5" t="n"/>
      <c r="J176" s="10" t="n"/>
      <c r="K176" s="10" t="n"/>
      <c r="L176" s="10" t="n"/>
      <c r="M176" s="5" t="n"/>
      <c r="N176" s="18" t="n"/>
      <c r="O176" s="5" t="n"/>
      <c r="P176" s="18" t="n"/>
      <c r="Q176" s="18" t="n"/>
      <c r="R176" s="10" t="n"/>
      <c r="S176" s="18" t="n"/>
      <c r="T176" s="5" t="n"/>
    </row>
    <row r="177" ht="30" customHeight="1">
      <c r="A177" s="10" t="inlineStr">
        <is>
          <t>DEF-176</t>
        </is>
      </c>
      <c r="B177" s="10" t="n"/>
      <c r="C177" s="5">
        <f>IF(B177="","",IFERROR(INDEX('Test Cases'!$B$2:$B$546,MATCH(B177,'Test Cases'!$A$2:$A$546,0)),""))</f>
        <v/>
      </c>
      <c r="D177" s="5">
        <f>IF(B177="","",IFERROR(INDEX('Test Cases'!$C$2:$C$546,MATCH(B177,'Test Cases'!$A$2:$A$546,0)),""))</f>
        <v/>
      </c>
      <c r="E177" s="5" t="n"/>
      <c r="F177" s="5" t="n"/>
      <c r="G177" s="5" t="n"/>
      <c r="H177" s="5" t="n"/>
      <c r="I177" s="5" t="n"/>
      <c r="J177" s="10" t="n"/>
      <c r="K177" s="10" t="n"/>
      <c r="L177" s="10" t="n"/>
      <c r="M177" s="5" t="n"/>
      <c r="N177" s="18" t="n"/>
      <c r="O177" s="5" t="n"/>
      <c r="P177" s="18" t="n"/>
      <c r="Q177" s="18" t="n"/>
      <c r="R177" s="10" t="n"/>
      <c r="S177" s="18" t="n"/>
      <c r="T177" s="5" t="n"/>
    </row>
    <row r="178" ht="30" customHeight="1">
      <c r="A178" s="10" t="inlineStr">
        <is>
          <t>DEF-177</t>
        </is>
      </c>
      <c r="B178" s="10" t="n"/>
      <c r="C178" s="5">
        <f>IF(B178="","",IFERROR(INDEX('Test Cases'!$B$2:$B$546,MATCH(B178,'Test Cases'!$A$2:$A$546,0)),""))</f>
        <v/>
      </c>
      <c r="D178" s="5">
        <f>IF(B178="","",IFERROR(INDEX('Test Cases'!$C$2:$C$546,MATCH(B178,'Test Cases'!$A$2:$A$546,0)),""))</f>
        <v/>
      </c>
      <c r="E178" s="5" t="n"/>
      <c r="F178" s="5" t="n"/>
      <c r="G178" s="5" t="n"/>
      <c r="H178" s="5" t="n"/>
      <c r="I178" s="5" t="n"/>
      <c r="J178" s="10" t="n"/>
      <c r="K178" s="10" t="n"/>
      <c r="L178" s="10" t="n"/>
      <c r="M178" s="5" t="n"/>
      <c r="N178" s="18" t="n"/>
      <c r="O178" s="5" t="n"/>
      <c r="P178" s="18" t="n"/>
      <c r="Q178" s="18" t="n"/>
      <c r="R178" s="10" t="n"/>
      <c r="S178" s="18" t="n"/>
      <c r="T178" s="5" t="n"/>
    </row>
    <row r="179" ht="30" customHeight="1">
      <c r="A179" s="10" t="inlineStr">
        <is>
          <t>DEF-178</t>
        </is>
      </c>
      <c r="B179" s="10" t="n"/>
      <c r="C179" s="5">
        <f>IF(B179="","",IFERROR(INDEX('Test Cases'!$B$2:$B$546,MATCH(B179,'Test Cases'!$A$2:$A$546,0)),""))</f>
        <v/>
      </c>
      <c r="D179" s="5">
        <f>IF(B179="","",IFERROR(INDEX('Test Cases'!$C$2:$C$546,MATCH(B179,'Test Cases'!$A$2:$A$546,0)),""))</f>
        <v/>
      </c>
      <c r="E179" s="5" t="n"/>
      <c r="F179" s="5" t="n"/>
      <c r="G179" s="5" t="n"/>
      <c r="H179" s="5" t="n"/>
      <c r="I179" s="5" t="n"/>
      <c r="J179" s="10" t="n"/>
      <c r="K179" s="10" t="n"/>
      <c r="L179" s="10" t="n"/>
      <c r="M179" s="5" t="n"/>
      <c r="N179" s="18" t="n"/>
      <c r="O179" s="5" t="n"/>
      <c r="P179" s="18" t="n"/>
      <c r="Q179" s="18" t="n"/>
      <c r="R179" s="10" t="n"/>
      <c r="S179" s="18" t="n"/>
      <c r="T179" s="5" t="n"/>
    </row>
    <row r="180" ht="30" customHeight="1">
      <c r="A180" s="10" t="inlineStr">
        <is>
          <t>DEF-179</t>
        </is>
      </c>
      <c r="B180" s="10" t="n"/>
      <c r="C180" s="5">
        <f>IF(B180="","",IFERROR(INDEX('Test Cases'!$B$2:$B$546,MATCH(B180,'Test Cases'!$A$2:$A$546,0)),""))</f>
        <v/>
      </c>
      <c r="D180" s="5">
        <f>IF(B180="","",IFERROR(INDEX('Test Cases'!$C$2:$C$546,MATCH(B180,'Test Cases'!$A$2:$A$546,0)),""))</f>
        <v/>
      </c>
      <c r="E180" s="5" t="n"/>
      <c r="F180" s="5" t="n"/>
      <c r="G180" s="5" t="n"/>
      <c r="H180" s="5" t="n"/>
      <c r="I180" s="5" t="n"/>
      <c r="J180" s="10" t="n"/>
      <c r="K180" s="10" t="n"/>
      <c r="L180" s="10" t="n"/>
      <c r="M180" s="5" t="n"/>
      <c r="N180" s="18" t="n"/>
      <c r="O180" s="5" t="n"/>
      <c r="P180" s="18" t="n"/>
      <c r="Q180" s="18" t="n"/>
      <c r="R180" s="10" t="n"/>
      <c r="S180" s="18" t="n"/>
      <c r="T180" s="5" t="n"/>
    </row>
    <row r="181" ht="30" customHeight="1">
      <c r="A181" s="10" t="inlineStr">
        <is>
          <t>DEF-180</t>
        </is>
      </c>
      <c r="B181" s="10" t="n"/>
      <c r="C181" s="5">
        <f>IF(B181="","",IFERROR(INDEX('Test Cases'!$B$2:$B$546,MATCH(B181,'Test Cases'!$A$2:$A$546,0)),""))</f>
        <v/>
      </c>
      <c r="D181" s="5">
        <f>IF(B181="","",IFERROR(INDEX('Test Cases'!$C$2:$C$546,MATCH(B181,'Test Cases'!$A$2:$A$546,0)),""))</f>
        <v/>
      </c>
      <c r="E181" s="5" t="n"/>
      <c r="F181" s="5" t="n"/>
      <c r="G181" s="5" t="n"/>
      <c r="H181" s="5" t="n"/>
      <c r="I181" s="5" t="n"/>
      <c r="J181" s="10" t="n"/>
      <c r="K181" s="10" t="n"/>
      <c r="L181" s="10" t="n"/>
      <c r="M181" s="5" t="n"/>
      <c r="N181" s="18" t="n"/>
      <c r="O181" s="5" t="n"/>
      <c r="P181" s="18" t="n"/>
      <c r="Q181" s="18" t="n"/>
      <c r="R181" s="10" t="n"/>
      <c r="S181" s="18" t="n"/>
      <c r="T181" s="5" t="n"/>
    </row>
    <row r="182" ht="30" customHeight="1">
      <c r="A182" s="10" t="inlineStr">
        <is>
          <t>DEF-181</t>
        </is>
      </c>
      <c r="B182" s="10" t="n"/>
      <c r="C182" s="5">
        <f>IF(B182="","",IFERROR(INDEX('Test Cases'!$B$2:$B$546,MATCH(B182,'Test Cases'!$A$2:$A$546,0)),""))</f>
        <v/>
      </c>
      <c r="D182" s="5">
        <f>IF(B182="","",IFERROR(INDEX('Test Cases'!$C$2:$C$546,MATCH(B182,'Test Cases'!$A$2:$A$546,0)),""))</f>
        <v/>
      </c>
      <c r="E182" s="5" t="n"/>
      <c r="F182" s="5" t="n"/>
      <c r="G182" s="5" t="n"/>
      <c r="H182" s="5" t="n"/>
      <c r="I182" s="5" t="n"/>
      <c r="J182" s="10" t="n"/>
      <c r="K182" s="10" t="n"/>
      <c r="L182" s="10" t="n"/>
      <c r="M182" s="5" t="n"/>
      <c r="N182" s="18" t="n"/>
      <c r="O182" s="5" t="n"/>
      <c r="P182" s="18" t="n"/>
      <c r="Q182" s="18" t="n"/>
      <c r="R182" s="10" t="n"/>
      <c r="S182" s="18" t="n"/>
      <c r="T182" s="5" t="n"/>
    </row>
    <row r="183" ht="30" customHeight="1">
      <c r="A183" s="10" t="inlineStr">
        <is>
          <t>DEF-182</t>
        </is>
      </c>
      <c r="B183" s="10" t="n"/>
      <c r="C183" s="5">
        <f>IF(B183="","",IFERROR(INDEX('Test Cases'!$B$2:$B$546,MATCH(B183,'Test Cases'!$A$2:$A$546,0)),""))</f>
        <v/>
      </c>
      <c r="D183" s="5">
        <f>IF(B183="","",IFERROR(INDEX('Test Cases'!$C$2:$C$546,MATCH(B183,'Test Cases'!$A$2:$A$546,0)),""))</f>
        <v/>
      </c>
      <c r="E183" s="5" t="n"/>
      <c r="F183" s="5" t="n"/>
      <c r="G183" s="5" t="n"/>
      <c r="H183" s="5" t="n"/>
      <c r="I183" s="5" t="n"/>
      <c r="J183" s="10" t="n"/>
      <c r="K183" s="10" t="n"/>
      <c r="L183" s="10" t="n"/>
      <c r="M183" s="5" t="n"/>
      <c r="N183" s="18" t="n"/>
      <c r="O183" s="5" t="n"/>
      <c r="P183" s="18" t="n"/>
      <c r="Q183" s="18" t="n"/>
      <c r="R183" s="10" t="n"/>
      <c r="S183" s="18" t="n"/>
      <c r="T183" s="5" t="n"/>
    </row>
    <row r="184" ht="30" customHeight="1">
      <c r="A184" s="10" t="inlineStr">
        <is>
          <t>DEF-183</t>
        </is>
      </c>
      <c r="B184" s="10" t="n"/>
      <c r="C184" s="5">
        <f>IF(B184="","",IFERROR(INDEX('Test Cases'!$B$2:$B$546,MATCH(B184,'Test Cases'!$A$2:$A$546,0)),""))</f>
        <v/>
      </c>
      <c r="D184" s="5">
        <f>IF(B184="","",IFERROR(INDEX('Test Cases'!$C$2:$C$546,MATCH(B184,'Test Cases'!$A$2:$A$546,0)),""))</f>
        <v/>
      </c>
      <c r="E184" s="5" t="n"/>
      <c r="F184" s="5" t="n"/>
      <c r="G184" s="5" t="n"/>
      <c r="H184" s="5" t="n"/>
      <c r="I184" s="5" t="n"/>
      <c r="J184" s="10" t="n"/>
      <c r="K184" s="10" t="n"/>
      <c r="L184" s="10" t="n"/>
      <c r="M184" s="5" t="n"/>
      <c r="N184" s="18" t="n"/>
      <c r="O184" s="5" t="n"/>
      <c r="P184" s="18" t="n"/>
      <c r="Q184" s="18" t="n"/>
      <c r="R184" s="10" t="n"/>
      <c r="S184" s="18" t="n"/>
      <c r="T184" s="5" t="n"/>
    </row>
    <row r="185" ht="30" customHeight="1">
      <c r="A185" s="10" t="inlineStr">
        <is>
          <t>DEF-184</t>
        </is>
      </c>
      <c r="B185" s="10" t="n"/>
      <c r="C185" s="5">
        <f>IF(B185="","",IFERROR(INDEX('Test Cases'!$B$2:$B$546,MATCH(B185,'Test Cases'!$A$2:$A$546,0)),""))</f>
        <v/>
      </c>
      <c r="D185" s="5">
        <f>IF(B185="","",IFERROR(INDEX('Test Cases'!$C$2:$C$546,MATCH(B185,'Test Cases'!$A$2:$A$546,0)),""))</f>
        <v/>
      </c>
      <c r="E185" s="5" t="n"/>
      <c r="F185" s="5" t="n"/>
      <c r="G185" s="5" t="n"/>
      <c r="H185" s="5" t="n"/>
      <c r="I185" s="5" t="n"/>
      <c r="J185" s="10" t="n"/>
      <c r="K185" s="10" t="n"/>
      <c r="L185" s="10" t="n"/>
      <c r="M185" s="5" t="n"/>
      <c r="N185" s="18" t="n"/>
      <c r="O185" s="5" t="n"/>
      <c r="P185" s="18" t="n"/>
      <c r="Q185" s="18" t="n"/>
      <c r="R185" s="10" t="n"/>
      <c r="S185" s="18" t="n"/>
      <c r="T185" s="5" t="n"/>
    </row>
    <row r="186" ht="30" customHeight="1">
      <c r="A186" s="10" t="inlineStr">
        <is>
          <t>DEF-185</t>
        </is>
      </c>
      <c r="B186" s="10" t="n"/>
      <c r="C186" s="5">
        <f>IF(B186="","",IFERROR(INDEX('Test Cases'!$B$2:$B$546,MATCH(B186,'Test Cases'!$A$2:$A$546,0)),""))</f>
        <v/>
      </c>
      <c r="D186" s="5">
        <f>IF(B186="","",IFERROR(INDEX('Test Cases'!$C$2:$C$546,MATCH(B186,'Test Cases'!$A$2:$A$546,0)),""))</f>
        <v/>
      </c>
      <c r="E186" s="5" t="n"/>
      <c r="F186" s="5" t="n"/>
      <c r="G186" s="5" t="n"/>
      <c r="H186" s="5" t="n"/>
      <c r="I186" s="5" t="n"/>
      <c r="J186" s="10" t="n"/>
      <c r="K186" s="10" t="n"/>
      <c r="L186" s="10" t="n"/>
      <c r="M186" s="5" t="n"/>
      <c r="N186" s="18" t="n"/>
      <c r="O186" s="5" t="n"/>
      <c r="P186" s="18" t="n"/>
      <c r="Q186" s="18" t="n"/>
      <c r="R186" s="10" t="n"/>
      <c r="S186" s="18" t="n"/>
      <c r="T186" s="5" t="n"/>
    </row>
    <row r="187" ht="30" customHeight="1">
      <c r="A187" s="10" t="inlineStr">
        <is>
          <t>DEF-186</t>
        </is>
      </c>
      <c r="B187" s="10" t="n"/>
      <c r="C187" s="5">
        <f>IF(B187="","",IFERROR(INDEX('Test Cases'!$B$2:$B$546,MATCH(B187,'Test Cases'!$A$2:$A$546,0)),""))</f>
        <v/>
      </c>
      <c r="D187" s="5">
        <f>IF(B187="","",IFERROR(INDEX('Test Cases'!$C$2:$C$546,MATCH(B187,'Test Cases'!$A$2:$A$546,0)),""))</f>
        <v/>
      </c>
      <c r="E187" s="5" t="n"/>
      <c r="F187" s="5" t="n"/>
      <c r="G187" s="5" t="n"/>
      <c r="H187" s="5" t="n"/>
      <c r="I187" s="5" t="n"/>
      <c r="J187" s="10" t="n"/>
      <c r="K187" s="10" t="n"/>
      <c r="L187" s="10" t="n"/>
      <c r="M187" s="5" t="n"/>
      <c r="N187" s="18" t="n"/>
      <c r="O187" s="5" t="n"/>
      <c r="P187" s="18" t="n"/>
      <c r="Q187" s="18" t="n"/>
      <c r="R187" s="10" t="n"/>
      <c r="S187" s="18" t="n"/>
      <c r="T187" s="5" t="n"/>
    </row>
    <row r="188" ht="30" customHeight="1">
      <c r="A188" s="10" t="inlineStr">
        <is>
          <t>DEF-187</t>
        </is>
      </c>
      <c r="B188" s="10" t="n"/>
      <c r="C188" s="5">
        <f>IF(B188="","",IFERROR(INDEX('Test Cases'!$B$2:$B$546,MATCH(B188,'Test Cases'!$A$2:$A$546,0)),""))</f>
        <v/>
      </c>
      <c r="D188" s="5">
        <f>IF(B188="","",IFERROR(INDEX('Test Cases'!$C$2:$C$546,MATCH(B188,'Test Cases'!$A$2:$A$546,0)),""))</f>
        <v/>
      </c>
      <c r="E188" s="5" t="n"/>
      <c r="F188" s="5" t="n"/>
      <c r="G188" s="5" t="n"/>
      <c r="H188" s="5" t="n"/>
      <c r="I188" s="5" t="n"/>
      <c r="J188" s="10" t="n"/>
      <c r="K188" s="10" t="n"/>
      <c r="L188" s="10" t="n"/>
      <c r="M188" s="5" t="n"/>
      <c r="N188" s="18" t="n"/>
      <c r="O188" s="5" t="n"/>
      <c r="P188" s="18" t="n"/>
      <c r="Q188" s="18" t="n"/>
      <c r="R188" s="10" t="n"/>
      <c r="S188" s="18" t="n"/>
      <c r="T188" s="5" t="n"/>
    </row>
    <row r="189" ht="30" customHeight="1">
      <c r="A189" s="10" t="inlineStr">
        <is>
          <t>DEF-188</t>
        </is>
      </c>
      <c r="B189" s="10" t="n"/>
      <c r="C189" s="5">
        <f>IF(B189="","",IFERROR(INDEX('Test Cases'!$B$2:$B$546,MATCH(B189,'Test Cases'!$A$2:$A$546,0)),""))</f>
        <v/>
      </c>
      <c r="D189" s="5">
        <f>IF(B189="","",IFERROR(INDEX('Test Cases'!$C$2:$C$546,MATCH(B189,'Test Cases'!$A$2:$A$546,0)),""))</f>
        <v/>
      </c>
      <c r="E189" s="5" t="n"/>
      <c r="F189" s="5" t="n"/>
      <c r="G189" s="5" t="n"/>
      <c r="H189" s="5" t="n"/>
      <c r="I189" s="5" t="n"/>
      <c r="J189" s="10" t="n"/>
      <c r="K189" s="10" t="n"/>
      <c r="L189" s="10" t="n"/>
      <c r="M189" s="5" t="n"/>
      <c r="N189" s="18" t="n"/>
      <c r="O189" s="5" t="n"/>
      <c r="P189" s="18" t="n"/>
      <c r="Q189" s="18" t="n"/>
      <c r="R189" s="10" t="n"/>
      <c r="S189" s="18" t="n"/>
      <c r="T189" s="5" t="n"/>
    </row>
    <row r="190" ht="30" customHeight="1">
      <c r="A190" s="10" t="inlineStr">
        <is>
          <t>DEF-189</t>
        </is>
      </c>
      <c r="B190" s="10" t="n"/>
      <c r="C190" s="5">
        <f>IF(B190="","",IFERROR(INDEX('Test Cases'!$B$2:$B$546,MATCH(B190,'Test Cases'!$A$2:$A$546,0)),""))</f>
        <v/>
      </c>
      <c r="D190" s="5">
        <f>IF(B190="","",IFERROR(INDEX('Test Cases'!$C$2:$C$546,MATCH(B190,'Test Cases'!$A$2:$A$546,0)),""))</f>
        <v/>
      </c>
      <c r="E190" s="5" t="n"/>
      <c r="F190" s="5" t="n"/>
      <c r="G190" s="5" t="n"/>
      <c r="H190" s="5" t="n"/>
      <c r="I190" s="5" t="n"/>
      <c r="J190" s="10" t="n"/>
      <c r="K190" s="10" t="n"/>
      <c r="L190" s="10" t="n"/>
      <c r="M190" s="5" t="n"/>
      <c r="N190" s="18" t="n"/>
      <c r="O190" s="5" t="n"/>
      <c r="P190" s="18" t="n"/>
      <c r="Q190" s="18" t="n"/>
      <c r="R190" s="10" t="n"/>
      <c r="S190" s="18" t="n"/>
      <c r="T190" s="5" t="n"/>
    </row>
    <row r="191" ht="30" customHeight="1">
      <c r="A191" s="10" t="inlineStr">
        <is>
          <t>DEF-190</t>
        </is>
      </c>
      <c r="B191" s="10" t="n"/>
      <c r="C191" s="5">
        <f>IF(B191="","",IFERROR(INDEX('Test Cases'!$B$2:$B$546,MATCH(B191,'Test Cases'!$A$2:$A$546,0)),""))</f>
        <v/>
      </c>
      <c r="D191" s="5">
        <f>IF(B191="","",IFERROR(INDEX('Test Cases'!$C$2:$C$546,MATCH(B191,'Test Cases'!$A$2:$A$546,0)),""))</f>
        <v/>
      </c>
      <c r="E191" s="5" t="n"/>
      <c r="F191" s="5" t="n"/>
      <c r="G191" s="5" t="n"/>
      <c r="H191" s="5" t="n"/>
      <c r="I191" s="5" t="n"/>
      <c r="J191" s="10" t="n"/>
      <c r="K191" s="10" t="n"/>
      <c r="L191" s="10" t="n"/>
      <c r="M191" s="5" t="n"/>
      <c r="N191" s="18" t="n"/>
      <c r="O191" s="5" t="n"/>
      <c r="P191" s="18" t="n"/>
      <c r="Q191" s="18" t="n"/>
      <c r="R191" s="10" t="n"/>
      <c r="S191" s="18" t="n"/>
      <c r="T191" s="5" t="n"/>
    </row>
    <row r="192" ht="30" customHeight="1">
      <c r="A192" s="10" t="inlineStr">
        <is>
          <t>DEF-191</t>
        </is>
      </c>
      <c r="B192" s="10" t="n"/>
      <c r="C192" s="5">
        <f>IF(B192="","",IFERROR(INDEX('Test Cases'!$B$2:$B$546,MATCH(B192,'Test Cases'!$A$2:$A$546,0)),""))</f>
        <v/>
      </c>
      <c r="D192" s="5">
        <f>IF(B192="","",IFERROR(INDEX('Test Cases'!$C$2:$C$546,MATCH(B192,'Test Cases'!$A$2:$A$546,0)),""))</f>
        <v/>
      </c>
      <c r="E192" s="5" t="n"/>
      <c r="F192" s="5" t="n"/>
      <c r="G192" s="5" t="n"/>
      <c r="H192" s="5" t="n"/>
      <c r="I192" s="5" t="n"/>
      <c r="J192" s="10" t="n"/>
      <c r="K192" s="10" t="n"/>
      <c r="L192" s="10" t="n"/>
      <c r="M192" s="5" t="n"/>
      <c r="N192" s="18" t="n"/>
      <c r="O192" s="5" t="n"/>
      <c r="P192" s="18" t="n"/>
      <c r="Q192" s="18" t="n"/>
      <c r="R192" s="10" t="n"/>
      <c r="S192" s="18" t="n"/>
      <c r="T192" s="5" t="n"/>
    </row>
    <row r="193" ht="30" customHeight="1">
      <c r="A193" s="10" t="inlineStr">
        <is>
          <t>DEF-192</t>
        </is>
      </c>
      <c r="B193" s="10" t="n"/>
      <c r="C193" s="5">
        <f>IF(B193="","",IFERROR(INDEX('Test Cases'!$B$2:$B$546,MATCH(B193,'Test Cases'!$A$2:$A$546,0)),""))</f>
        <v/>
      </c>
      <c r="D193" s="5">
        <f>IF(B193="","",IFERROR(INDEX('Test Cases'!$C$2:$C$546,MATCH(B193,'Test Cases'!$A$2:$A$546,0)),""))</f>
        <v/>
      </c>
      <c r="E193" s="5" t="n"/>
      <c r="F193" s="5" t="n"/>
      <c r="G193" s="5" t="n"/>
      <c r="H193" s="5" t="n"/>
      <c r="I193" s="5" t="n"/>
      <c r="J193" s="10" t="n"/>
      <c r="K193" s="10" t="n"/>
      <c r="L193" s="10" t="n"/>
      <c r="M193" s="5" t="n"/>
      <c r="N193" s="18" t="n"/>
      <c r="O193" s="5" t="n"/>
      <c r="P193" s="18" t="n"/>
      <c r="Q193" s="18" t="n"/>
      <c r="R193" s="10" t="n"/>
      <c r="S193" s="18" t="n"/>
      <c r="T193" s="5" t="n"/>
    </row>
    <row r="194" ht="30" customHeight="1">
      <c r="A194" s="10" t="inlineStr">
        <is>
          <t>DEF-193</t>
        </is>
      </c>
      <c r="B194" s="10" t="n"/>
      <c r="C194" s="5">
        <f>IF(B194="","",IFERROR(INDEX('Test Cases'!$B$2:$B$546,MATCH(B194,'Test Cases'!$A$2:$A$546,0)),""))</f>
        <v/>
      </c>
      <c r="D194" s="5">
        <f>IF(B194="","",IFERROR(INDEX('Test Cases'!$C$2:$C$546,MATCH(B194,'Test Cases'!$A$2:$A$546,0)),""))</f>
        <v/>
      </c>
      <c r="E194" s="5" t="n"/>
      <c r="F194" s="5" t="n"/>
      <c r="G194" s="5" t="n"/>
      <c r="H194" s="5" t="n"/>
      <c r="I194" s="5" t="n"/>
      <c r="J194" s="10" t="n"/>
      <c r="K194" s="10" t="n"/>
      <c r="L194" s="10" t="n"/>
      <c r="M194" s="5" t="n"/>
      <c r="N194" s="18" t="n"/>
      <c r="O194" s="5" t="n"/>
      <c r="P194" s="18" t="n"/>
      <c r="Q194" s="18" t="n"/>
      <c r="R194" s="10" t="n"/>
      <c r="S194" s="18" t="n"/>
      <c r="T194" s="5" t="n"/>
    </row>
    <row r="195" ht="30" customHeight="1">
      <c r="A195" s="10" t="inlineStr">
        <is>
          <t>DEF-194</t>
        </is>
      </c>
      <c r="B195" s="10" t="n"/>
      <c r="C195" s="5">
        <f>IF(B195="","",IFERROR(INDEX('Test Cases'!$B$2:$B$546,MATCH(B195,'Test Cases'!$A$2:$A$546,0)),""))</f>
        <v/>
      </c>
      <c r="D195" s="5">
        <f>IF(B195="","",IFERROR(INDEX('Test Cases'!$C$2:$C$546,MATCH(B195,'Test Cases'!$A$2:$A$546,0)),""))</f>
        <v/>
      </c>
      <c r="E195" s="5" t="n"/>
      <c r="F195" s="5" t="n"/>
      <c r="G195" s="5" t="n"/>
      <c r="H195" s="5" t="n"/>
      <c r="I195" s="5" t="n"/>
      <c r="J195" s="10" t="n"/>
      <c r="K195" s="10" t="n"/>
      <c r="L195" s="10" t="n"/>
      <c r="M195" s="5" t="n"/>
      <c r="N195" s="18" t="n"/>
      <c r="O195" s="5" t="n"/>
      <c r="P195" s="18" t="n"/>
      <c r="Q195" s="18" t="n"/>
      <c r="R195" s="10" t="n"/>
      <c r="S195" s="18" t="n"/>
      <c r="T195" s="5" t="n"/>
    </row>
    <row r="196" ht="30" customHeight="1">
      <c r="A196" s="10" t="inlineStr">
        <is>
          <t>DEF-195</t>
        </is>
      </c>
      <c r="B196" s="10" t="n"/>
      <c r="C196" s="5">
        <f>IF(B196="","",IFERROR(INDEX('Test Cases'!$B$2:$B$546,MATCH(B196,'Test Cases'!$A$2:$A$546,0)),""))</f>
        <v/>
      </c>
      <c r="D196" s="5">
        <f>IF(B196="","",IFERROR(INDEX('Test Cases'!$C$2:$C$546,MATCH(B196,'Test Cases'!$A$2:$A$546,0)),""))</f>
        <v/>
      </c>
      <c r="E196" s="5" t="n"/>
      <c r="F196" s="5" t="n"/>
      <c r="G196" s="5" t="n"/>
      <c r="H196" s="5" t="n"/>
      <c r="I196" s="5" t="n"/>
      <c r="J196" s="10" t="n"/>
      <c r="K196" s="10" t="n"/>
      <c r="L196" s="10" t="n"/>
      <c r="M196" s="5" t="n"/>
      <c r="N196" s="18" t="n"/>
      <c r="O196" s="5" t="n"/>
      <c r="P196" s="18" t="n"/>
      <c r="Q196" s="18" t="n"/>
      <c r="R196" s="10" t="n"/>
      <c r="S196" s="18" t="n"/>
      <c r="T196" s="5" t="n"/>
    </row>
    <row r="197" ht="30" customHeight="1">
      <c r="A197" s="10" t="inlineStr">
        <is>
          <t>DEF-196</t>
        </is>
      </c>
      <c r="B197" s="10" t="n"/>
      <c r="C197" s="5">
        <f>IF(B197="","",IFERROR(INDEX('Test Cases'!$B$2:$B$546,MATCH(B197,'Test Cases'!$A$2:$A$546,0)),""))</f>
        <v/>
      </c>
      <c r="D197" s="5">
        <f>IF(B197="","",IFERROR(INDEX('Test Cases'!$C$2:$C$546,MATCH(B197,'Test Cases'!$A$2:$A$546,0)),""))</f>
        <v/>
      </c>
      <c r="E197" s="5" t="n"/>
      <c r="F197" s="5" t="n"/>
      <c r="G197" s="5" t="n"/>
      <c r="H197" s="5" t="n"/>
      <c r="I197" s="5" t="n"/>
      <c r="J197" s="10" t="n"/>
      <c r="K197" s="10" t="n"/>
      <c r="L197" s="10" t="n"/>
      <c r="M197" s="5" t="n"/>
      <c r="N197" s="18" t="n"/>
      <c r="O197" s="5" t="n"/>
      <c r="P197" s="18" t="n"/>
      <c r="Q197" s="18" t="n"/>
      <c r="R197" s="10" t="n"/>
      <c r="S197" s="18" t="n"/>
      <c r="T197" s="5" t="n"/>
    </row>
    <row r="198" ht="30" customHeight="1">
      <c r="A198" s="10" t="inlineStr">
        <is>
          <t>DEF-197</t>
        </is>
      </c>
      <c r="B198" s="10" t="n"/>
      <c r="C198" s="5">
        <f>IF(B198="","",IFERROR(INDEX('Test Cases'!$B$2:$B$546,MATCH(B198,'Test Cases'!$A$2:$A$546,0)),""))</f>
        <v/>
      </c>
      <c r="D198" s="5">
        <f>IF(B198="","",IFERROR(INDEX('Test Cases'!$C$2:$C$546,MATCH(B198,'Test Cases'!$A$2:$A$546,0)),""))</f>
        <v/>
      </c>
      <c r="E198" s="5" t="n"/>
      <c r="F198" s="5" t="n"/>
      <c r="G198" s="5" t="n"/>
      <c r="H198" s="5" t="n"/>
      <c r="I198" s="5" t="n"/>
      <c r="J198" s="10" t="n"/>
      <c r="K198" s="10" t="n"/>
      <c r="L198" s="10" t="n"/>
      <c r="M198" s="5" t="n"/>
      <c r="N198" s="18" t="n"/>
      <c r="O198" s="5" t="n"/>
      <c r="P198" s="18" t="n"/>
      <c r="Q198" s="18" t="n"/>
      <c r="R198" s="10" t="n"/>
      <c r="S198" s="18" t="n"/>
      <c r="T198" s="5" t="n"/>
    </row>
    <row r="199" ht="30" customHeight="1">
      <c r="A199" s="10" t="inlineStr">
        <is>
          <t>DEF-198</t>
        </is>
      </c>
      <c r="B199" s="10" t="n"/>
      <c r="C199" s="5">
        <f>IF(B199="","",IFERROR(INDEX('Test Cases'!$B$2:$B$546,MATCH(B199,'Test Cases'!$A$2:$A$546,0)),""))</f>
        <v/>
      </c>
      <c r="D199" s="5">
        <f>IF(B199="","",IFERROR(INDEX('Test Cases'!$C$2:$C$546,MATCH(B199,'Test Cases'!$A$2:$A$546,0)),""))</f>
        <v/>
      </c>
      <c r="E199" s="5" t="n"/>
      <c r="F199" s="5" t="n"/>
      <c r="G199" s="5" t="n"/>
      <c r="H199" s="5" t="n"/>
      <c r="I199" s="5" t="n"/>
      <c r="J199" s="10" t="n"/>
      <c r="K199" s="10" t="n"/>
      <c r="L199" s="10" t="n"/>
      <c r="M199" s="5" t="n"/>
      <c r="N199" s="18" t="n"/>
      <c r="O199" s="5" t="n"/>
      <c r="P199" s="18" t="n"/>
      <c r="Q199" s="18" t="n"/>
      <c r="R199" s="10" t="n"/>
      <c r="S199" s="18" t="n"/>
      <c r="T199" s="5" t="n"/>
    </row>
    <row r="200" ht="30" customHeight="1">
      <c r="A200" s="10" t="inlineStr">
        <is>
          <t>DEF-199</t>
        </is>
      </c>
      <c r="B200" s="10" t="n"/>
      <c r="C200" s="5">
        <f>IF(B200="","",IFERROR(INDEX('Test Cases'!$B$2:$B$546,MATCH(B200,'Test Cases'!$A$2:$A$546,0)),""))</f>
        <v/>
      </c>
      <c r="D200" s="5">
        <f>IF(B200="","",IFERROR(INDEX('Test Cases'!$C$2:$C$546,MATCH(B200,'Test Cases'!$A$2:$A$546,0)),""))</f>
        <v/>
      </c>
      <c r="E200" s="5" t="n"/>
      <c r="F200" s="5" t="n"/>
      <c r="G200" s="5" t="n"/>
      <c r="H200" s="5" t="n"/>
      <c r="I200" s="5" t="n"/>
      <c r="J200" s="10" t="n"/>
      <c r="K200" s="10" t="n"/>
      <c r="L200" s="10" t="n"/>
      <c r="M200" s="5" t="n"/>
      <c r="N200" s="18" t="n"/>
      <c r="O200" s="5" t="n"/>
      <c r="P200" s="18" t="n"/>
      <c r="Q200" s="18" t="n"/>
      <c r="R200" s="10" t="n"/>
      <c r="S200" s="18" t="n"/>
      <c r="T200" s="5" t="n"/>
    </row>
    <row r="201" ht="30" customHeight="1">
      <c r="A201" s="10" t="inlineStr">
        <is>
          <t>DEF-200</t>
        </is>
      </c>
      <c r="B201" s="10" t="n"/>
      <c r="C201" s="5">
        <f>IF(B201="","",IFERROR(INDEX('Test Cases'!$B$2:$B$546,MATCH(B201,'Test Cases'!$A$2:$A$546,0)),""))</f>
        <v/>
      </c>
      <c r="D201" s="5">
        <f>IF(B201="","",IFERROR(INDEX('Test Cases'!$C$2:$C$546,MATCH(B201,'Test Cases'!$A$2:$A$546,0)),""))</f>
        <v/>
      </c>
      <c r="E201" s="5" t="n"/>
      <c r="F201" s="5" t="n"/>
      <c r="G201" s="5" t="n"/>
      <c r="H201" s="5" t="n"/>
      <c r="I201" s="5" t="n"/>
      <c r="J201" s="10" t="n"/>
      <c r="K201" s="10" t="n"/>
      <c r="L201" s="10" t="n"/>
      <c r="M201" s="5" t="n"/>
      <c r="N201" s="18" t="n"/>
      <c r="O201" s="5" t="n"/>
      <c r="P201" s="18" t="n"/>
      <c r="Q201" s="18" t="n"/>
      <c r="R201" s="10" t="n"/>
      <c r="S201" s="18" t="n"/>
      <c r="T201" s="5" t="n"/>
    </row>
  </sheetData>
  <autoFilter ref="A1:T201"/>
  <conditionalFormatting sqref="J2:J201">
    <cfRule type="cellIs" priority="1" operator="equal" dxfId="0">
      <formula>"Critical"</formula>
    </cfRule>
    <cfRule type="cellIs" priority="2" operator="equal" dxfId="6">
      <formula>"High"</formula>
    </cfRule>
    <cfRule type="cellIs" priority="3" operator="equal" dxfId="7">
      <formula>"Medium"</formula>
    </cfRule>
  </conditionalFormatting>
  <dataValidations count="5">
    <dataValidation sqref="J2:J201" showDropDown="0" showInputMessage="0" showErrorMessage="0" allowBlank="1" type="list">
      <formula1>"Critical,High,Medium,Low"</formula1>
    </dataValidation>
    <dataValidation sqref="K2:K201" showDropDown="0" showInputMessage="0" showErrorMessage="0" allowBlank="1" type="list">
      <formula1>"P1 ด่วนที่สุด,P2 สูง,P3 ปกติ,P4 ต่ำ"</formula1>
    </dataValidation>
    <dataValidation sqref="L2:L201" showDropDown="0" showInputMessage="0" showErrorMessage="0" allowBlank="1" type="list">
      <formula1>"เปิด (Open),กำลังแก้ไข (In Progress),แก้ไขแล้ว (Fixed),รอทดสอบซ้ำ (Retest),ปิด (Closed),ปฏิเสธ (Rejected),เลื่อน (Deferred)"</formula1>
    </dataValidation>
    <dataValidation sqref="R2:R201" showDropDown="0" showInputMessage="0" showErrorMessage="0" allowBlank="1" type="list">
      <formula1>"ผ่าน,ไม่ผ่าน"</formula1>
    </dataValidation>
    <dataValidation sqref="B2:B201" showDropDown="0" showInputMessage="0" showErrorMessage="0" allowBlank="1" type="list">
      <formula1>'Test Cases'!$A$2:$A$546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2" customWidth="1" min="4" max="4"/>
    <col width="22" customWidth="1" min="5" max="5"/>
    <col width="34" customWidth="1" min="6" max="6"/>
    <col width="22" customWidth="1" min="7" max="7"/>
    <col width="16" customWidth="1" min="8" max="8"/>
  </cols>
  <sheetData>
    <row r="2">
      <c r="B2" s="30" t="inlineStr">
        <is>
          <t>การรับรองผลการทดสอบ UAT (User Acceptance Sign-off)</t>
        </is>
      </c>
    </row>
    <row r="3">
      <c r="B3" s="3" t="inlineStr">
        <is>
          <t>โครงการ TOTAL IT SERVICES (IT&amp;MAINT — Smart Asset · Smart Work) · เอกสาร UAT เวอร์ชัน 1.0 · วันที่ 17/10/2569</t>
        </is>
      </c>
    </row>
    <row r="5">
      <c r="B5" s="31" t="inlineStr">
        <is>
          <t>สรุปผลการทดสอบ (คำนวณอัตโนมัติจากชีต Test Cases)</t>
        </is>
      </c>
    </row>
    <row r="6">
      <c r="B6" s="4" t="inlineStr">
        <is>
          <t>จำนวน Test Case ทั้งหมด</t>
        </is>
      </c>
      <c r="C6" s="10">
        <f>COUNTA('Test Cases'!A2:A546)</f>
        <v/>
      </c>
    </row>
    <row r="7">
      <c r="B7" s="4" t="inlineStr">
        <is>
          <t>ผ่าน</t>
        </is>
      </c>
      <c r="C7" s="10">
        <f>COUNTIF('Test Cases'!M2:M546,"ผ่าน")</f>
        <v/>
      </c>
    </row>
    <row r="8">
      <c r="B8" s="4" t="inlineStr">
        <is>
          <t>ไม่ผ่าน</t>
        </is>
      </c>
      <c r="C8" s="10">
        <f>COUNTIF('Test Cases'!M2:M546,"ไม่ผ่าน")</f>
        <v/>
      </c>
    </row>
    <row r="9">
      <c r="B9" s="4" t="inlineStr">
        <is>
          <t>ติดเงื่อนไข</t>
        </is>
      </c>
      <c r="C9" s="10">
        <f>COUNTIF('Test Cases'!M2:M546,"ติดเงื่อนไข")</f>
        <v/>
      </c>
    </row>
    <row r="10">
      <c r="B10" s="4" t="inlineStr">
        <is>
          <t>ยังไม่ทดสอบ</t>
        </is>
      </c>
      <c r="C10" s="10">
        <f>COUNTIF('Test Cases'!M2:M546,"ยังไม่ทดสอบ")</f>
        <v/>
      </c>
    </row>
    <row r="11">
      <c r="B11" s="4" t="inlineStr">
        <is>
          <t>% ผ่าน (จากที่ทดสอบแล้ว)</t>
        </is>
      </c>
      <c r="C11" s="32">
        <f>IFERROR(C7/(C7+C8+C9),0)</f>
        <v/>
      </c>
    </row>
    <row r="12">
      <c r="B12" s="4" t="inlineStr">
        <is>
          <t>Defect Critical/High ที่ยังไม่ปิด</t>
        </is>
      </c>
      <c r="C12" s="10">
        <f>COUNTIFS('Defect Log'!J:J,"Critical",'Defect Log'!L:L,"&lt;&gt;ปิด (Closed)",'Defect Log'!L:L,"&lt;&gt;ปฏิเสธ (Rejected)")+COUNTIFS('Defect Log'!J:J,"High",'Defect Log'!L:L,"&lt;&gt;ปิด (Closed)",'Defect Log'!L:L,"&lt;&gt;ปฏิเสธ (Rejected)")</f>
        <v/>
      </c>
    </row>
    <row r="13">
      <c r="B13" s="4" t="inlineStr">
        <is>
          <t>E2E Scenario ผ่าน (ขั้นตอน)</t>
        </is>
      </c>
      <c r="C13" s="10">
        <f>COUNTIF('End-to-End Scenarios'!L2:L77,"ผ่าน")&amp;" / "&amp;COUNTA('End-to-End Scenarios'!E2:E77)</f>
        <v/>
      </c>
    </row>
    <row r="15">
      <c r="B15" s="31" t="inlineStr">
        <is>
          <t>คำรับรอง</t>
        </is>
      </c>
    </row>
    <row r="16" ht="24" customHeight="1">
      <c r="B16" s="17" t="inlineStr">
        <is>
          <t>ข้าพเจ้าได้ทดสอบ/ตรวจสอบผลการทดสอบระบบ TOTAL IT SERVICES ตามเอกสารฉบับนี้แล้ว และพิจารณาว่าระบบเป็นไปตามเกณฑ์การยอมรับ (Exit Criteria) ที่ระบุในหน้าปก ยกเว้นรายการที่ระบุไว้ในช่องความเห็น ซึ่งต้องแก้ไขตามกำหนดเวลาที่ตกลงร่วมกัน</t>
        </is>
      </c>
    </row>
    <row r="17" ht="24" customHeight="1"/>
    <row r="19" ht="28" customHeight="1">
      <c r="B19" s="9" t="inlineStr">
        <is>
          <t>ฝ่าย / บทบาท</t>
        </is>
      </c>
      <c r="C19" s="9" t="inlineStr">
        <is>
          <t>ชื่อ-นามสกุล</t>
        </is>
      </c>
      <c r="D19" s="9" t="inlineStr">
        <is>
          <t>ตำแหน่ง</t>
        </is>
      </c>
      <c r="E19" s="9" t="inlineStr">
        <is>
          <t>ผลการพิจารณา</t>
        </is>
      </c>
      <c r="F19" s="9" t="inlineStr">
        <is>
          <t>ความเห็น / เงื่อนไข</t>
        </is>
      </c>
      <c r="G19" s="9" t="inlineStr">
        <is>
          <t>ลายมือชื่อ</t>
        </is>
      </c>
      <c r="H19" s="9" t="inlineStr">
        <is>
          <t>วันที่</t>
        </is>
      </c>
    </row>
    <row r="20" ht="48" customHeight="1">
      <c r="B20" s="33" t="inlineStr">
        <is>
          <t>ผู้ใช้งานหลัก (Key User)</t>
        </is>
      </c>
      <c r="C20" s="5" t="n"/>
      <c r="D20" s="5" t="n"/>
      <c r="E20" s="5" t="n"/>
      <c r="F20" s="5" t="n"/>
      <c r="G20" s="5" t="n"/>
      <c r="H20" s="34" t="n"/>
    </row>
    <row r="21" ht="48" customHeight="1">
      <c r="B21" s="33" t="inlineStr">
        <is>
          <t>ฝ่ายเทคโนโลยีสารสนเทศ (IT)</t>
        </is>
      </c>
      <c r="C21" s="5" t="n"/>
      <c r="D21" s="5" t="n"/>
      <c r="E21" s="5" t="n"/>
      <c r="F21" s="5" t="n"/>
      <c r="G21" s="5" t="n"/>
      <c r="H21" s="34" t="n"/>
    </row>
    <row r="22" ht="48" customHeight="1">
      <c r="B22" s="33" t="inlineStr">
        <is>
          <t>ฝ่ายซ่อมบำรุง</t>
        </is>
      </c>
      <c r="C22" s="5" t="n"/>
      <c r="D22" s="5" t="n"/>
      <c r="E22" s="5" t="n"/>
      <c r="F22" s="5" t="n"/>
      <c r="G22" s="5" t="n"/>
      <c r="H22" s="34" t="n"/>
    </row>
    <row r="23" ht="48" customHeight="1">
      <c r="B23" s="33" t="inlineStr">
        <is>
          <t>ฝ่ายบัญชี/การเงิน</t>
        </is>
      </c>
      <c r="C23" s="5" t="n"/>
      <c r="D23" s="5" t="n"/>
      <c r="E23" s="5" t="n"/>
      <c r="F23" s="5" t="n"/>
      <c r="G23" s="5" t="n"/>
      <c r="H23" s="34" t="n"/>
    </row>
    <row r="24" ht="48" customHeight="1">
      <c r="B24" s="33" t="inlineStr">
        <is>
          <t>ผู้อนุมัติ (Project Sponsor / ผู้บริหาร)</t>
        </is>
      </c>
      <c r="C24" s="5" t="n"/>
      <c r="D24" s="5" t="n"/>
      <c r="E24" s="5" t="n"/>
      <c r="F24" s="5" t="n"/>
      <c r="G24" s="5" t="n"/>
      <c r="H24" s="34" t="n"/>
    </row>
  </sheetData>
  <mergeCells count="1">
    <mergeCell ref="B16:H17"/>
  </mergeCells>
  <dataValidations count="1">
    <dataValidation sqref="E20:E24" showDropDown="0" showInputMessage="0" showErrorMessage="0" allowBlank="1" type="list">
      <formula1>"ยอมรับ,ยอมรับแบบมีเงื่อนไข,ไม่ยอมรับ"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Hark</dc:creator>
  <dc:title xmlns:dc="http://purl.org/dc/elements/1.1/">TOTAL IT SERVICES — UAT</dc:title>
  <dcterms:created xmlns:dcterms="http://purl.org/dc/terms/" xmlns:xsi="http://www.w3.org/2001/XMLSchema-instance" xsi:type="dcterms:W3CDTF">2026-10-17T11:45:49Z</dcterms:created>
  <dcterms:modified xmlns:dcterms="http://purl.org/dc/terms/" xmlns:xsi="http://www.w3.org/2001/XMLSchema-instance" xsi:type="dcterms:W3CDTF">2026-10-17T11:45:50Z</dcterms:modified>
</cp:coreProperties>
</file>